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shk\Desktop\COURSES\PROJECTS\EXCEL\stock portfolio tracker\"/>
    </mc:Choice>
  </mc:AlternateContent>
  <xr:revisionPtr revIDLastSave="0" documentId="13_ncr:1_{9CAC464D-307E-46AB-BCD9-1FA44F9A3399}" xr6:coauthVersionLast="47" xr6:coauthVersionMax="47" xr10:uidLastSave="{00000000-0000-0000-0000-000000000000}"/>
  <bookViews>
    <workbookView xWindow="-108" yWindow="-108" windowWidth="23256" windowHeight="12456" activeTab="2" xr2:uid="{C5389CB1-3F48-4573-9752-328BCB0657F4}"/>
  </bookViews>
  <sheets>
    <sheet name="Trades" sheetId="4" r:id="rId1"/>
    <sheet name="Analysis" sheetId="6" r:id="rId2"/>
    <sheet name="Dashboard" sheetId="3" r:id="rId3"/>
  </sheets>
  <definedNames>
    <definedName name="_xlnm._FilterDatabase" localSheetId="1" hidden="1">Analysis!$Q$1:$Q$51</definedName>
    <definedName name="ExternalData_2" localSheetId="0" hidden="1">Trades!$A$1:$I$29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9" i="6" l="1"/>
  <c r="U27" i="6"/>
  <c r="U26" i="6"/>
  <c r="U25" i="6"/>
  <c r="U24" i="6"/>
  <c r="U23" i="6"/>
  <c r="T27" i="6"/>
  <c r="T26" i="6"/>
  <c r="T25" i="6"/>
  <c r="T24" i="6"/>
  <c r="T23" i="6"/>
  <c r="T9" i="6"/>
  <c r="Y22" i="6"/>
  <c r="Y23" i="6"/>
  <c r="J3" i="3"/>
  <c r="D3" i="3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" i="6"/>
  <c r="AG2" i="6"/>
  <c r="A1" i="6" a="1"/>
  <c r="R3" i="6" s="1"/>
  <c r="Q23" i="6" l="1"/>
  <c r="AF2" i="6" a="1"/>
  <c r="AF2" i="6" s="1"/>
  <c r="L21" i="6"/>
  <c r="L7" i="6"/>
  <c r="Q5" i="6"/>
  <c r="K6" i="6"/>
  <c r="X2" i="6" a="1"/>
  <c r="X2" i="6" s="1"/>
  <c r="Q17" i="6"/>
  <c r="R14" i="6"/>
  <c r="K18" i="6"/>
  <c r="R29" i="6"/>
  <c r="K29" i="6"/>
  <c r="R12" i="6"/>
  <c r="L12" i="6"/>
  <c r="K21" i="6"/>
  <c r="R7" i="6"/>
  <c r="R18" i="6"/>
  <c r="L18" i="6"/>
  <c r="X13" i="6" a="1"/>
  <c r="X13" i="6" s="1"/>
  <c r="R28" i="6"/>
  <c r="R6" i="6"/>
  <c r="L4" i="6"/>
  <c r="Q26" i="6"/>
  <c r="R23" i="6"/>
  <c r="K16" i="6"/>
  <c r="Q25" i="6"/>
  <c r="K17" i="6"/>
  <c r="L27" i="6"/>
  <c r="Q24" i="6"/>
  <c r="Q8" i="6"/>
  <c r="R21" i="6"/>
  <c r="R5" i="6"/>
  <c r="K23" i="6"/>
  <c r="L22" i="6"/>
  <c r="K27" i="6"/>
  <c r="Q4" i="6"/>
  <c r="R15" i="6"/>
  <c r="K7" i="6"/>
  <c r="K22" i="6"/>
  <c r="R2" i="6"/>
  <c r="K14" i="6"/>
  <c r="L20" i="6"/>
  <c r="Q16" i="6"/>
  <c r="R13" i="6"/>
  <c r="K24" i="6"/>
  <c r="L28" i="6"/>
  <c r="Q15" i="6"/>
  <c r="K25" i="6"/>
  <c r="Q14" i="6"/>
  <c r="R11" i="6"/>
  <c r="L16" i="6"/>
  <c r="Q29" i="6"/>
  <c r="R10" i="6"/>
  <c r="K20" i="6"/>
  <c r="L3" i="6"/>
  <c r="Q28" i="6"/>
  <c r="Q12" i="6"/>
  <c r="R25" i="6"/>
  <c r="K28" i="6"/>
  <c r="L15" i="6"/>
  <c r="Q27" i="6"/>
  <c r="Q11" i="6"/>
  <c r="R8" i="6"/>
  <c r="K12" i="6"/>
  <c r="L8" i="6"/>
  <c r="Q10" i="6"/>
  <c r="L9" i="6"/>
  <c r="Q9" i="6"/>
  <c r="L5" i="6"/>
  <c r="Q7" i="6"/>
  <c r="R20" i="6"/>
  <c r="R4" i="6"/>
  <c r="K9" i="6"/>
  <c r="Q21" i="6"/>
  <c r="L14" i="6"/>
  <c r="Q20" i="6"/>
  <c r="R17" i="6"/>
  <c r="K5" i="6"/>
  <c r="K10" i="6"/>
  <c r="L24" i="6"/>
  <c r="L29" i="6"/>
  <c r="Q19" i="6"/>
  <c r="Q3" i="6"/>
  <c r="R16" i="6"/>
  <c r="K13" i="6"/>
  <c r="K11" i="6"/>
  <c r="L19" i="6"/>
  <c r="L25" i="6"/>
  <c r="Q18" i="6"/>
  <c r="Y24" i="6"/>
  <c r="K19" i="6"/>
  <c r="Q2" i="6"/>
  <c r="R27" i="6"/>
  <c r="L26" i="6"/>
  <c r="Q13" i="6"/>
  <c r="R26" i="6"/>
  <c r="L17" i="6"/>
  <c r="R9" i="6"/>
  <c r="L2" i="6"/>
  <c r="R24" i="6"/>
  <c r="K26" i="6"/>
  <c r="L23" i="6"/>
  <c r="R22" i="6"/>
  <c r="K3" i="6"/>
  <c r="L6" i="6"/>
  <c r="K2" i="6"/>
  <c r="K15" i="6"/>
  <c r="L10" i="6"/>
  <c r="K4" i="6"/>
  <c r="M4" i="6" s="1"/>
  <c r="K8" i="6"/>
  <c r="L13" i="6"/>
  <c r="L11" i="6"/>
  <c r="Q22" i="6"/>
  <c r="Q6" i="6"/>
  <c r="R19" i="6"/>
  <c r="A1" i="6"/>
  <c r="O20" i="6"/>
  <c r="O25" i="6"/>
  <c r="O17" i="6"/>
  <c r="O18" i="6"/>
  <c r="O21" i="6"/>
  <c r="O3" i="6"/>
  <c r="O4" i="6"/>
  <c r="O19" i="6"/>
  <c r="O26" i="6"/>
  <c r="O5" i="6"/>
  <c r="O9" i="6"/>
  <c r="O8" i="6"/>
  <c r="O7" i="6"/>
  <c r="O6" i="6"/>
  <c r="O16" i="6"/>
  <c r="O10" i="6"/>
  <c r="O24" i="6"/>
  <c r="O23" i="6"/>
  <c r="O22" i="6"/>
  <c r="O15" i="6"/>
  <c r="O2" i="6"/>
  <c r="O14" i="6"/>
  <c r="O29" i="6"/>
  <c r="O13" i="6"/>
  <c r="O28" i="6"/>
  <c r="O12" i="6"/>
  <c r="O27" i="6"/>
  <c r="O11" i="6"/>
  <c r="M7" i="6" l="1"/>
  <c r="M11" i="6"/>
  <c r="M24" i="6"/>
  <c r="M19" i="6"/>
  <c r="M16" i="6"/>
  <c r="M21" i="6"/>
  <c r="Z2" i="6" a="1"/>
  <c r="Z2" i="6" s="1"/>
  <c r="O30" i="6"/>
  <c r="AC2" i="6" a="1"/>
  <c r="AB2" i="6" a="1"/>
  <c r="M29" i="6"/>
  <c r="N4" i="6" s="1"/>
  <c r="M12" i="6"/>
  <c r="M9" i="6"/>
  <c r="M2" i="6"/>
  <c r="M18" i="6"/>
  <c r="M26" i="6"/>
  <c r="M8" i="6"/>
  <c r="P11" i="6" s="1"/>
  <c r="M22" i="6"/>
  <c r="M14" i="6"/>
  <c r="N21" i="6" s="1"/>
  <c r="M10" i="6"/>
  <c r="M23" i="6"/>
  <c r="P10" i="6" s="1"/>
  <c r="M25" i="6"/>
  <c r="M20" i="6"/>
  <c r="N20" i="6" s="1"/>
  <c r="M5" i="6"/>
  <c r="N24" i="6" s="1"/>
  <c r="M28" i="6"/>
  <c r="M3" i="6"/>
  <c r="M27" i="6"/>
  <c r="M13" i="6"/>
  <c r="M15" i="6"/>
  <c r="M6" i="6"/>
  <c r="M17" i="6"/>
  <c r="P7" i="6"/>
  <c r="N7" i="6"/>
  <c r="N19" i="6"/>
  <c r="P19" i="6"/>
  <c r="N22" i="6"/>
  <c r="P22" i="6"/>
  <c r="P28" i="6" l="1"/>
  <c r="P25" i="6"/>
  <c r="P12" i="6"/>
  <c r="N14" i="6"/>
  <c r="P23" i="6"/>
  <c r="P20" i="6"/>
  <c r="AD18" i="6"/>
  <c r="AD3" i="6"/>
  <c r="AD5" i="6"/>
  <c r="AD6" i="6"/>
  <c r="AD9" i="6"/>
  <c r="AD10" i="6"/>
  <c r="AD11" i="6"/>
  <c r="AD12" i="6"/>
  <c r="AD13" i="6"/>
  <c r="AD14" i="6"/>
  <c r="AD15" i="6"/>
  <c r="AD16" i="6"/>
  <c r="AD17" i="6"/>
  <c r="AD4" i="6"/>
  <c r="AD7" i="6"/>
  <c r="AD8" i="6"/>
  <c r="P13" i="6"/>
  <c r="P5" i="6"/>
  <c r="N18" i="6"/>
  <c r="N26" i="6"/>
  <c r="N9" i="6"/>
  <c r="N27" i="6"/>
  <c r="P18" i="6"/>
  <c r="N15" i="6"/>
  <c r="P29" i="6"/>
  <c r="P27" i="6"/>
  <c r="N17" i="6"/>
  <c r="P3" i="6"/>
  <c r="P8" i="6"/>
  <c r="P14" i="6"/>
  <c r="N5" i="6"/>
  <c r="N6" i="6"/>
  <c r="P26" i="6"/>
  <c r="AB2" i="6"/>
  <c r="T16" i="6"/>
  <c r="AC2" i="6"/>
  <c r="AD2" i="6" s="1"/>
  <c r="N2" i="6"/>
  <c r="T3" i="6"/>
  <c r="Y2" i="6" a="1"/>
  <c r="Y13" i="6" a="1"/>
  <c r="Y13" i="6" s="1"/>
  <c r="M3" i="3" s="1"/>
  <c r="N28" i="6"/>
  <c r="P17" i="6"/>
  <c r="P9" i="6"/>
  <c r="N11" i="6"/>
  <c r="P15" i="6"/>
  <c r="N29" i="6"/>
  <c r="P24" i="6"/>
  <c r="N10" i="6"/>
  <c r="P4" i="6"/>
  <c r="P21" i="6"/>
  <c r="P2" i="6"/>
  <c r="N8" i="6"/>
  <c r="P6" i="6"/>
  <c r="N25" i="6"/>
  <c r="N23" i="6"/>
  <c r="N3" i="6"/>
  <c r="N12" i="6"/>
  <c r="N16" i="6"/>
  <c r="P16" i="6"/>
  <c r="N13" i="6"/>
  <c r="AD19" i="6" l="1"/>
  <c r="T13" i="6"/>
  <c r="G3" i="3" s="1"/>
  <c r="Y2" i="6"/>
  <c r="AA2" i="6" s="1"/>
  <c r="AA5" i="6"/>
  <c r="AA6" i="6"/>
  <c r="AA9" i="6"/>
  <c r="AA4" i="6"/>
  <c r="AA7" i="6"/>
  <c r="AA8" i="6"/>
  <c r="AA3" i="6"/>
  <c r="T6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EC68E0-9948-4603-869B-414E48CBA7E1}" keepAlive="1" name="Query - Trades" description="Connection to the 'Trades' query in the workbook." type="5" refreshedVersion="0" background="1">
    <dbPr connection="Provider=Microsoft.Mashup.OleDb.1;Data Source=$Workbook$;Location=Trades;Extended Properties=&quot;&quot;" command="SELECT * FROM [Trad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<sst xmlns="http://schemas.openxmlformats.org/spreadsheetml/2006/main" count="137" uniqueCount="73">
  <si>
    <t>Ticker</t>
  </si>
  <si>
    <t>Company</t>
  </si>
  <si>
    <t>Sector</t>
  </si>
  <si>
    <t>Qty</t>
  </si>
  <si>
    <t>RELIANCE.NS</t>
  </si>
  <si>
    <t>Reliance Industries</t>
  </si>
  <si>
    <t>Energy</t>
  </si>
  <si>
    <t>HDFCBANK.NS</t>
  </si>
  <si>
    <t>HDFC Bank</t>
  </si>
  <si>
    <t>Finance</t>
  </si>
  <si>
    <t>INFY.NS</t>
  </si>
  <si>
    <t>Infosys</t>
  </si>
  <si>
    <t>IT</t>
  </si>
  <si>
    <t>ITC.NS</t>
  </si>
  <si>
    <t>ITC Limited</t>
  </si>
  <si>
    <t>FMCG</t>
  </si>
  <si>
    <t>MARUTI.NS</t>
  </si>
  <si>
    <t>Maruti Suzuki</t>
  </si>
  <si>
    <t>Auto</t>
  </si>
  <si>
    <t>SUNPHARMA.NS</t>
  </si>
  <si>
    <t>Sun Pharma</t>
  </si>
  <si>
    <t>Pharma</t>
  </si>
  <si>
    <t>TATASTEEL.NS</t>
  </si>
  <si>
    <t>Tata Steel</t>
  </si>
  <si>
    <t>Metal</t>
  </si>
  <si>
    <t>ZOMATO.NS</t>
  </si>
  <si>
    <t>Zomato Limited</t>
  </si>
  <si>
    <t>Food Tech</t>
  </si>
  <si>
    <t>Trade ID</t>
  </si>
  <si>
    <t>Buy Date</t>
  </si>
  <si>
    <t>Buy Price</t>
  </si>
  <si>
    <t>Sell Date</t>
  </si>
  <si>
    <t>Sell Price</t>
  </si>
  <si>
    <r>
      <t>Trades Values (Capital deployed</t>
    </r>
    <r>
      <rPr>
        <b/>
        <sz val="11"/>
        <color theme="1"/>
        <rFont val="Aptos Narrow"/>
        <family val="2"/>
        <scheme val="minor"/>
      </rPr>
      <t>)</t>
    </r>
  </si>
  <si>
    <t>Revenue (Exit Value)</t>
  </si>
  <si>
    <t xml:space="preserve">Return % </t>
  </si>
  <si>
    <t xml:space="preserve">P&amp;L </t>
  </si>
  <si>
    <t>Holding Days</t>
  </si>
  <si>
    <t>Win Or Loss</t>
  </si>
  <si>
    <t>Month Sell</t>
  </si>
  <si>
    <t>Q1 - What is Total Portfolio P&amp;L?</t>
  </si>
  <si>
    <t>Q2 - Which Stock Has the Highest Return %?</t>
  </si>
  <si>
    <t>Q3 - Which Sector is Most Profitable?</t>
  </si>
  <si>
    <t>Unique Ticker</t>
  </si>
  <si>
    <t>Total P&amp;L</t>
  </si>
  <si>
    <t>Capital</t>
  </si>
  <si>
    <t>Unique Sector</t>
  </si>
  <si>
    <t>Q4 - What is the Win Rate?</t>
  </si>
  <si>
    <t>Win</t>
  </si>
  <si>
    <t>Total Trades</t>
  </si>
  <si>
    <t>Q5 - What is the Average Holding Period?</t>
  </si>
  <si>
    <t>Average Holding</t>
  </si>
  <si>
    <t>Q6 - Which Month Had the Most Trading Activity?</t>
  </si>
  <si>
    <t>Unique Months</t>
  </si>
  <si>
    <t>Total Trades(month)</t>
  </si>
  <si>
    <t>Risk:Reward</t>
  </si>
  <si>
    <t>Q7 - What is the Risk-Reward Ratio Per Trade?</t>
  </si>
  <si>
    <t>RR</t>
  </si>
  <si>
    <t>Sorted Date</t>
  </si>
  <si>
    <t>Cumulative P&amp;L</t>
  </si>
  <si>
    <t>Q8 - What Does the Cumulative P&amp;L Curve Look Like?</t>
  </si>
  <si>
    <t>Win Rate %</t>
  </si>
  <si>
    <t>Best Stock</t>
  </si>
  <si>
    <t>Best Sector</t>
  </si>
  <si>
    <t>Cumulative P&amp;L Curve</t>
  </si>
  <si>
    <t>Sector P&amp;L</t>
  </si>
  <si>
    <t>Loss</t>
  </si>
  <si>
    <t> Win vs Loss</t>
  </si>
  <si>
    <t>Top 5 tickers by Return %</t>
  </si>
  <si>
    <t>Monthly Trade Activity</t>
  </si>
  <si>
    <t>NSE Trading Portfolio Dashboard  ( 2022 - 2023)</t>
  </si>
  <si>
    <t>Initial Account Balance</t>
  </si>
  <si>
    <t>₹5,00,000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</si>
</sst>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.00"/>
    <numFmt numFmtId="165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1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17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0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2" fontId="0" fillId="0" borderId="0" xfId="0" applyNumberFormat="1" applyAlignment="1">
      <alignment vertical="top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/>
    <xf numFmtId="0" fontId="0" fillId="2" borderId="0" xfId="0" applyFill="1" applyAlignment="1">
      <alignment horizontal="center"/>
    </xf>
    <xf numFmtId="164" fontId="0" fillId="4" borderId="0" xfId="0" applyNumberFormat="1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3" borderId="0" xfId="0" applyFill="1" applyAlignment="1"/>
    <xf numFmtId="10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165" fontId="0" fillId="4" borderId="0" xfId="0" applyNumberFormat="1" applyFill="1" applyAlignment="1">
      <alignment horizontal="center" vertical="center"/>
    </xf>
  </cellXfs>
  <cellStyles count="1">
    <cellStyle name="Normal" xfId="0" builtinId="0"/>
  </cellStyles>
  <dxfs count="5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P&amp;L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Analysis!$AG$2:$AG$29</c:f>
              <c:numCache>
                <c:formatCode>[$₹-4009]\ #,##0.00</c:formatCode>
                <c:ptCount val="28"/>
                <c:pt idx="0">
                  <c:v>8321.4000000000087</c:v>
                </c:pt>
                <c:pt idx="1">
                  <c:v>-1325.7999999999738</c:v>
                </c:pt>
                <c:pt idx="2">
                  <c:v>-3048.3999999999724</c:v>
                </c:pt>
                <c:pt idx="3">
                  <c:v>-14998.399999999969</c:v>
                </c:pt>
                <c:pt idx="4">
                  <c:v>-21770.899999999961</c:v>
                </c:pt>
                <c:pt idx="5">
                  <c:v>-14546.899999999961</c:v>
                </c:pt>
                <c:pt idx="6">
                  <c:v>-9904.3999999999614</c:v>
                </c:pt>
                <c:pt idx="7">
                  <c:v>-5805.8999999999614</c:v>
                </c:pt>
                <c:pt idx="8">
                  <c:v>3760.1000000000386</c:v>
                </c:pt>
                <c:pt idx="9">
                  <c:v>-7466.49999999996</c:v>
                </c:pt>
                <c:pt idx="10">
                  <c:v>-9459.99999999996</c:v>
                </c:pt>
                <c:pt idx="11">
                  <c:v>-4997.49999999996</c:v>
                </c:pt>
                <c:pt idx="12">
                  <c:v>-8289.8999999999614</c:v>
                </c:pt>
                <c:pt idx="13">
                  <c:v>-14213.699999999957</c:v>
                </c:pt>
                <c:pt idx="14">
                  <c:v>-25568.699999999957</c:v>
                </c:pt>
                <c:pt idx="15">
                  <c:v>-23291.399999999969</c:v>
                </c:pt>
                <c:pt idx="16">
                  <c:v>-18335.649999999972</c:v>
                </c:pt>
                <c:pt idx="17">
                  <c:v>-20566.149999999972</c:v>
                </c:pt>
                <c:pt idx="18">
                  <c:v>-15560.949999999972</c:v>
                </c:pt>
                <c:pt idx="19">
                  <c:v>-17660.949999999972</c:v>
                </c:pt>
                <c:pt idx="20">
                  <c:v>-25487.699999999972</c:v>
                </c:pt>
                <c:pt idx="21">
                  <c:v>-15216.699999999972</c:v>
                </c:pt>
                <c:pt idx="22">
                  <c:v>-12022.899999999969</c:v>
                </c:pt>
                <c:pt idx="23">
                  <c:v>-4230.4999999999673</c:v>
                </c:pt>
                <c:pt idx="24">
                  <c:v>1425.5000000000291</c:v>
                </c:pt>
                <c:pt idx="25">
                  <c:v>12101.200000000026</c:v>
                </c:pt>
                <c:pt idx="26">
                  <c:v>26476.200000000026</c:v>
                </c:pt>
                <c:pt idx="27">
                  <c:v>19734.750000000029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5-4ED7-8672-F9275585B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446927"/>
        <c:axId val="847716559"/>
      </c:lineChart>
      <c:catAx>
        <c:axId val="945446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16559"/>
        <c:crosses val="autoZero"/>
        <c:auto val="1"/>
        <c:lblAlgn val="ctr"/>
        <c:lblOffset val="100"/>
        <c:noMultiLvlLbl val="0"/>
      </c:catAx>
      <c:valAx>
        <c:axId val="84771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4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P&amp;L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Analysis!$AF$2:$AF$29</c:f>
              <c:numCache>
                <c:formatCode>m/d/yyyy</c:formatCode>
                <c:ptCount val="28"/>
                <c:pt idx="0">
                  <c:v>44578</c:v>
                </c:pt>
                <c:pt idx="1">
                  <c:v>44606</c:v>
                </c:pt>
                <c:pt idx="2">
                  <c:v>44620</c:v>
                </c:pt>
                <c:pt idx="3">
                  <c:v>44620</c:v>
                </c:pt>
                <c:pt idx="4">
                  <c:v>44634</c:v>
                </c:pt>
                <c:pt idx="5">
                  <c:v>44652</c:v>
                </c:pt>
                <c:pt idx="6">
                  <c:v>44652</c:v>
                </c:pt>
                <c:pt idx="7">
                  <c:v>44669</c:v>
                </c:pt>
                <c:pt idx="8">
                  <c:v>44683</c:v>
                </c:pt>
                <c:pt idx="9">
                  <c:v>44697</c:v>
                </c:pt>
                <c:pt idx="10">
                  <c:v>44697</c:v>
                </c:pt>
                <c:pt idx="11">
                  <c:v>44713</c:v>
                </c:pt>
                <c:pt idx="12">
                  <c:v>44727</c:v>
                </c:pt>
                <c:pt idx="13">
                  <c:v>44727</c:v>
                </c:pt>
                <c:pt idx="14">
                  <c:v>44743</c:v>
                </c:pt>
                <c:pt idx="15">
                  <c:v>44789</c:v>
                </c:pt>
                <c:pt idx="16">
                  <c:v>44789</c:v>
                </c:pt>
                <c:pt idx="17">
                  <c:v>44837</c:v>
                </c:pt>
                <c:pt idx="18">
                  <c:v>44896</c:v>
                </c:pt>
                <c:pt idx="19">
                  <c:v>44928</c:v>
                </c:pt>
                <c:pt idx="20">
                  <c:v>45033</c:v>
                </c:pt>
                <c:pt idx="21">
                  <c:v>45092</c:v>
                </c:pt>
                <c:pt idx="22">
                  <c:v>45110</c:v>
                </c:pt>
                <c:pt idx="23">
                  <c:v>45139</c:v>
                </c:pt>
                <c:pt idx="24">
                  <c:v>45184</c:v>
                </c:pt>
                <c:pt idx="25">
                  <c:v>45215</c:v>
                </c:pt>
                <c:pt idx="26">
                  <c:v>45215</c:v>
                </c:pt>
                <c:pt idx="27">
                  <c:v>45230</c:v>
                </c:pt>
              </c:numCache>
            </c:numRef>
          </c:cat>
          <c:val>
            <c:numRef>
              <c:f>Analysis!$AG$2:$AG$29</c:f>
              <c:numCache>
                <c:formatCode>[$₹-4009]\ #,##0.00</c:formatCode>
                <c:ptCount val="28"/>
                <c:pt idx="0">
                  <c:v>8321.4000000000087</c:v>
                </c:pt>
                <c:pt idx="1">
                  <c:v>-1325.7999999999738</c:v>
                </c:pt>
                <c:pt idx="2">
                  <c:v>-3048.3999999999724</c:v>
                </c:pt>
                <c:pt idx="3">
                  <c:v>-14998.399999999969</c:v>
                </c:pt>
                <c:pt idx="4">
                  <c:v>-21770.899999999961</c:v>
                </c:pt>
                <c:pt idx="5">
                  <c:v>-14546.899999999961</c:v>
                </c:pt>
                <c:pt idx="6">
                  <c:v>-9904.3999999999614</c:v>
                </c:pt>
                <c:pt idx="7">
                  <c:v>-5805.8999999999614</c:v>
                </c:pt>
                <c:pt idx="8">
                  <c:v>3760.1000000000386</c:v>
                </c:pt>
                <c:pt idx="9">
                  <c:v>-7466.49999999996</c:v>
                </c:pt>
                <c:pt idx="10">
                  <c:v>-9459.99999999996</c:v>
                </c:pt>
                <c:pt idx="11">
                  <c:v>-4997.49999999996</c:v>
                </c:pt>
                <c:pt idx="12">
                  <c:v>-8289.8999999999614</c:v>
                </c:pt>
                <c:pt idx="13">
                  <c:v>-14213.699999999957</c:v>
                </c:pt>
                <c:pt idx="14">
                  <c:v>-25568.699999999957</c:v>
                </c:pt>
                <c:pt idx="15">
                  <c:v>-23291.399999999969</c:v>
                </c:pt>
                <c:pt idx="16">
                  <c:v>-18335.649999999972</c:v>
                </c:pt>
                <c:pt idx="17">
                  <c:v>-20566.149999999972</c:v>
                </c:pt>
                <c:pt idx="18">
                  <c:v>-15560.949999999972</c:v>
                </c:pt>
                <c:pt idx="19">
                  <c:v>-17660.949999999972</c:v>
                </c:pt>
                <c:pt idx="20">
                  <c:v>-25487.699999999972</c:v>
                </c:pt>
                <c:pt idx="21">
                  <c:v>-15216.699999999972</c:v>
                </c:pt>
                <c:pt idx="22">
                  <c:v>-12022.899999999969</c:v>
                </c:pt>
                <c:pt idx="23">
                  <c:v>-4230.4999999999673</c:v>
                </c:pt>
                <c:pt idx="24">
                  <c:v>1425.5000000000291</c:v>
                </c:pt>
                <c:pt idx="25">
                  <c:v>12101.200000000026</c:v>
                </c:pt>
                <c:pt idx="26">
                  <c:v>26476.200000000026</c:v>
                </c:pt>
                <c:pt idx="27">
                  <c:v>19734.750000000029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F-4150-81E9-A01DC90DC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446927"/>
        <c:axId val="847716559"/>
      </c:lineChart>
      <c:dateAx>
        <c:axId val="94544692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16559"/>
        <c:crosses val="autoZero"/>
        <c:auto val="1"/>
        <c:lblOffset val="100"/>
        <c:baseTimeUnit val="days"/>
      </c:dateAx>
      <c:valAx>
        <c:axId val="84771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4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Sector P&amp;L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Analysis!$X$13</c:f>
              <c:strCache>
                <c:ptCount val="1"/>
                <c:pt idx="0">
                  <c:v>Auto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Analysis!$Y$12</c:f>
              <c:strCache>
                <c:ptCount val="1"/>
                <c:pt idx="0">
                  <c:v>Total P&amp;L</c:v>
                </c:pt>
              </c:strCache>
            </c:strRef>
          </c:cat>
          <c:val>
            <c:numRef>
              <c:f>Analysis!$Y$13</c:f>
              <c:numCache>
                <c:formatCode>General</c:formatCode>
                <c:ptCount val="1"/>
                <c:pt idx="0">
                  <c:v>12224.600000000013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A-4CC9-BDD1-34581D38A202}"/>
            </c:ext>
          </c:extLst>
        </c:ser>
        <c:ser>
          <c:idx val="1"/>
          <c:order val="1"/>
          <c:tx>
            <c:strRef>
              <c:f>Analysis!$X$14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Analysis!$Y$12</c:f>
              <c:strCache>
                <c:ptCount val="1"/>
                <c:pt idx="0">
                  <c:v>Total P&amp;L</c:v>
                </c:pt>
              </c:strCache>
            </c:strRef>
          </c:cat>
          <c:val>
            <c:numRef>
              <c:f>Analysis!$Y$14</c:f>
              <c:numCache>
                <c:formatCode>General</c:formatCode>
                <c:ptCount val="1"/>
                <c:pt idx="0">
                  <c:v>-23695.34999999998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9A-4CC9-BDD1-34581D38A202}"/>
            </c:ext>
          </c:extLst>
        </c:ser>
        <c:ser>
          <c:idx val="2"/>
          <c:order val="2"/>
          <c:tx>
            <c:strRef>
              <c:f>Analysis!$X$15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Analysis!$Y$12</c:f>
              <c:strCache>
                <c:ptCount val="1"/>
                <c:pt idx="0">
                  <c:v>Total P&amp;L</c:v>
                </c:pt>
              </c:strCache>
            </c:strRef>
          </c:cat>
          <c:val>
            <c:numRef>
              <c:f>Analysis!$Y$15</c:f>
              <c:numCache>
                <c:formatCode>General</c:formatCode>
                <c:ptCount val="1"/>
                <c:pt idx="0">
                  <c:v>6426.9500000000007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9A-4CC9-BDD1-34581D38A202}"/>
            </c:ext>
          </c:extLst>
        </c:ser>
        <c:ser>
          <c:idx val="3"/>
          <c:order val="3"/>
          <c:tx>
            <c:strRef>
              <c:f>Analysis!$X$16</c:f>
              <c:strCache>
                <c:ptCount val="1"/>
                <c:pt idx="0">
                  <c:v>Food Tech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Analysis!$Y$12</c:f>
              <c:strCache>
                <c:ptCount val="1"/>
                <c:pt idx="0">
                  <c:v>Total P&amp;L</c:v>
                </c:pt>
              </c:strCache>
            </c:strRef>
          </c:cat>
          <c:val>
            <c:numRef>
              <c:f>Analysis!$Y$16</c:f>
              <c:numCache>
                <c:formatCode>General</c:formatCode>
                <c:ptCount val="1"/>
                <c:pt idx="0">
                  <c:v>4787.5000000000036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9A-4CC9-BDD1-34581D38A202}"/>
            </c:ext>
          </c:extLst>
        </c:ser>
        <c:ser>
          <c:idx val="4"/>
          <c:order val="4"/>
          <c:tx>
            <c:strRef>
              <c:f>Analysis!$X$17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Analysis!$Y$12</c:f>
              <c:strCache>
                <c:ptCount val="1"/>
                <c:pt idx="0">
                  <c:v>Total P&amp;L</c:v>
                </c:pt>
              </c:strCache>
            </c:strRef>
          </c:cat>
          <c:val>
            <c:numRef>
              <c:f>Analysis!$Y$17</c:f>
              <c:numCache>
                <c:formatCode>General</c:formatCode>
                <c:ptCount val="1"/>
                <c:pt idx="0">
                  <c:v>-532.55000000001019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9A-4CC9-BDD1-34581D38A202}"/>
            </c:ext>
          </c:extLst>
        </c:ser>
        <c:ser>
          <c:idx val="5"/>
          <c:order val="5"/>
          <c:tx>
            <c:strRef>
              <c:f>Analysis!$X$18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Analysis!$Y$12</c:f>
              <c:strCache>
                <c:ptCount val="1"/>
                <c:pt idx="0">
                  <c:v>Total P&amp;L</c:v>
                </c:pt>
              </c:strCache>
            </c:strRef>
          </c:cat>
          <c:val>
            <c:numRef>
              <c:f>Analysis!$Y$18</c:f>
              <c:numCache>
                <c:formatCode>General</c:formatCode>
                <c:ptCount val="1"/>
                <c:pt idx="0">
                  <c:v>-3287.0000000000036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9A-4CC9-BDD1-34581D38A202}"/>
            </c:ext>
          </c:extLst>
        </c:ser>
        <c:ser>
          <c:idx val="6"/>
          <c:order val="6"/>
          <c:tx>
            <c:strRef>
              <c:f>Analysis!$X$19</c:f>
              <c:strCache>
                <c:ptCount val="1"/>
                <c:pt idx="0">
                  <c:v>Pharma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Analysis!$Y$12</c:f>
              <c:strCache>
                <c:ptCount val="1"/>
                <c:pt idx="0">
                  <c:v>Total P&amp;L</c:v>
                </c:pt>
              </c:strCache>
            </c:strRef>
          </c:cat>
          <c:val>
            <c:numRef>
              <c:f>Analysis!$Y$19</c:f>
              <c:numCache>
                <c:formatCode>General</c:formatCode>
                <c:ptCount val="1"/>
                <c:pt idx="0">
                  <c:v>5967.1000000000058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9A-4CC9-BDD1-34581D38A202}"/>
            </c:ext>
          </c:extLst>
        </c:ser>
        <c:ser>
          <c:idx val="7"/>
          <c:order val="7"/>
          <c:tx>
            <c:strRef>
              <c:f>Analysis!$X$20</c:f>
              <c:strCache>
                <c:ptCount val="1"/>
                <c:pt idx="0">
                  <c:v>FMCG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Analysis!$Y$12</c:f>
              <c:strCache>
                <c:ptCount val="1"/>
                <c:pt idx="0">
                  <c:v>Total P&amp;L</c:v>
                </c:pt>
              </c:strCache>
            </c:strRef>
          </c:cat>
          <c:val>
            <c:numRef>
              <c:f>Analysis!$Y$20</c:f>
              <c:numCache>
                <c:formatCode>General</c:formatCode>
                <c:ptCount val="1"/>
                <c:pt idx="0">
                  <c:v>17843.5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9A-4CC9-BDD1-34581D38A2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3130479"/>
        <c:axId val="847654639"/>
      </c:barChart>
      <c:catAx>
        <c:axId val="943130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54639"/>
        <c:crosses val="autoZero"/>
        <c:auto val="1"/>
        <c:lblAlgn val="ctr"/>
        <c:lblOffset val="100"/>
        <c:noMultiLvlLbl val="0"/>
      </c:catAx>
      <c:valAx>
        <c:axId val="84765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13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 Win vs Loss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5F-4C49-AF0A-613281FA7D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5F-4C49-AF0A-613281FA7D1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Analysis!$X$22:$X$23</c:f>
              <c:strCache>
                <c:ptCount val="2"/>
                <c:pt idx="0">
                  <c:v>Loss</c:v>
                </c:pt>
                <c:pt idx="1">
                  <c:v>Win</c:v>
                </c:pt>
              </c:strCache>
            </c:strRef>
          </c:cat>
          <c:val>
            <c:numRef>
              <c:f>Analysis!$Y$22:$Y$23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5F-4C49-AF0A-613281FA7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Return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Analysis!$U$22</c:f>
              <c:strCache>
                <c:ptCount val="1"/>
                <c:pt idx="0">
                  <c:v>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Analysis!$T$23:$T$27</c:f>
              <c:strCache>
                <c:ptCount val="5"/>
                <c:pt idx="0">
                  <c:v>ITC.NS</c:v>
                </c:pt>
                <c:pt idx="1">
                  <c:v>MARUTI.NS</c:v>
                </c:pt>
                <c:pt idx="2">
                  <c:v>ZOMATO.NS</c:v>
                </c:pt>
                <c:pt idx="3">
                  <c:v>HDFCBANK.NS</c:v>
                </c:pt>
                <c:pt idx="4">
                  <c:v>SUNPHARMA.NS</c:v>
                </c:pt>
              </c:strCache>
            </c:strRef>
          </c:cat>
          <c:val>
            <c:numRef>
              <c:f>Analysis!$U$23:$U$27</c:f>
              <c:numCache>
                <c:formatCode>0.00%</c:formatCode>
                <c:ptCount val="5"/>
                <c:pt idx="0">
                  <c:v>0.1569066263338624</c:v>
                </c:pt>
                <c:pt idx="1">
                  <c:v>7.7052750873214393E-2</c:v>
                </c:pt>
                <c:pt idx="2">
                  <c:v>7.1671844006138005E-2</c:v>
                </c:pt>
                <c:pt idx="3">
                  <c:v>6.011374653164743E-2</c:v>
                </c:pt>
                <c:pt idx="4">
                  <c:v>4.4488863804625106E-2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2-4FBB-83A3-A6FC85E5B6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3070623"/>
        <c:axId val="847671439"/>
      </c:barChart>
      <c:catAx>
        <c:axId val="94307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71439"/>
        <c:crosses val="autoZero"/>
        <c:auto val="1"/>
        <c:lblAlgn val="ctr"/>
        <c:lblOffset val="100"/>
        <c:noMultiLvlLbl val="0"/>
      </c:catAx>
      <c:valAx>
        <c:axId val="84767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07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Analysis!$AD$1</c:f>
              <c:strCache>
                <c:ptCount val="1"/>
                <c:pt idx="0">
                  <c:v>Total Trades(month)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Analysis!$AC$2:$AC$18</c:f>
              <c:strCache>
                <c:ptCount val="17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Oct-22</c:v>
                </c:pt>
                <c:pt idx="9">
                  <c:v>Dec-22</c:v>
                </c:pt>
                <c:pt idx="10">
                  <c:v>Jan-23</c:v>
                </c:pt>
                <c:pt idx="11">
                  <c:v>Apr-23</c:v>
                </c:pt>
                <c:pt idx="12">
                  <c:v>Jun-23</c:v>
                </c:pt>
                <c:pt idx="13">
                  <c:v>Jul-23</c:v>
                </c:pt>
                <c:pt idx="14">
                  <c:v>Aug-23</c:v>
                </c:pt>
                <c:pt idx="15">
                  <c:v>Sep-23</c:v>
                </c:pt>
                <c:pt idx="16">
                  <c:v>Oct-23</c:v>
                </c:pt>
              </c:strCache>
            </c:strRef>
          </c:cat>
          <c:val>
            <c:numRef>
              <c:f>Analysis!$AD$2:$AD$18</c:f>
              <c:numCache>
                <c:formatCode>General</c:formatCode>
                <c:ptCount val="17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4-444E-8945-600AD5B55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4422863"/>
        <c:axId val="847626319"/>
      </c:barChart>
      <c:catAx>
        <c:axId val="94442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26319"/>
        <c:crosses val="autoZero"/>
        <c:auto val="1"/>
        <c:lblAlgn val="ctr"/>
        <c:lblOffset val="100"/>
        <c:noMultiLvlLbl val="0"/>
      </c:catAx>
      <c:valAx>
        <c:axId val="8476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2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24</xdr:row>
      <xdr:rowOff>166688</xdr:rowOff>
    </xdr:from>
    <xdr:to>
      <xdr:col>26</xdr:col>
      <xdr:colOff>9525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27C5BD-0C6B-F36B-11D6-E5A81CE06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600075</xdr:colOff>
      <xdr:row>17</xdr:row>
      <xdr:rowOff>180974</xdr:rowOff>
    </xdr:from>
    <xdr:to>
      <xdr:col>22</xdr:col>
      <xdr:colOff>5714</xdr:colOff>
      <xdr:row>32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342822-DBE5-42CE-ADF1-6F4FE7395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607695</xdr:colOff>
      <xdr:row>0</xdr:row>
      <xdr:rowOff>175260</xdr:rowOff>
    </xdr:from>
    <xdr:to>
      <xdr:col>21</xdr:col>
      <xdr:colOff>607695</xdr:colOff>
      <xdr:row>15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DCF192-F267-4AFC-9378-011498151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590550</xdr:colOff>
      <xdr:row>18</xdr:row>
      <xdr:rowOff>9525</xdr:rowOff>
    </xdr:from>
    <xdr:to>
      <xdr:col>15</xdr:col>
      <xdr:colOff>3810</xdr:colOff>
      <xdr:row>32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B47DA1-6E5F-4AE0-A9D6-0D74ADF0D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952500</xdr:colOff>
      <xdr:row>18</xdr:row>
      <xdr:rowOff>19050</xdr:rowOff>
    </xdr:from>
    <xdr:to>
      <xdr:col>7</xdr:col>
      <xdr:colOff>600075</xdr:colOff>
      <xdr:row>32</xdr:row>
      <xdr:rowOff>13335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id="{B5B40481-4F13-4117-BAC3-035DEF323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598170</xdr:colOff>
      <xdr:row>1</xdr:row>
      <xdr:rowOff>0</xdr:rowOff>
    </xdr:from>
    <xdr:to>
      <xdr:col>29</xdr:col>
      <xdr:colOff>19050</xdr:colOff>
      <xdr:row>15</xdr:row>
      <xdr:rowOff>7620</xdr:rowOff>
    </xdr:to>
    <xdr:graphicFrame macro="">
      <xdr:nvGraphicFramePr>
        <xdr:cNvPr id="12" name="Chart 8">
          <a:extLst>
            <a:ext uri="{FF2B5EF4-FFF2-40B4-BE49-F238E27FC236}">
              <a16:creationId xmlns:a16="http://schemas.microsoft.com/office/drawing/2014/main" id="{9637984A-CA48-4BF6-AB33-E6D3B8CF6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990E31-ADFE-4EEE-9AB0-29ADC4E6D321}" name="Trades" displayName="Trades" ref="A1:I29" totalsRowShown="0">
  <autoFilter ref="A1:I29" xr:uid="{D8990E31-ADFE-4EEE-9AB0-29ADC4E6D321}"/>
  <sortState xmlns:xlrd2="http://schemas.microsoft.com/office/spreadsheetml/2017/richdata2" ref="A2:I29">
    <sortCondition ref="G2:G29"/>
  </sortState>
  <tableColumns count="9">
    <tableColumn id="1" xr3:uid="{752BF540-A3CD-4D34-8FC8-49204F0E5861}" name="Trade ID"/>
    <tableColumn id="2" xr3:uid="{FDF8400E-228A-4C7B-A3B0-C5CD8C3CF4B1}" name="Ticker" dataDxfId="4"/>
    <tableColumn id="3" xr3:uid="{3A6A5E6A-C6F9-44CF-9285-C14C3DED98C8}" name="Company" dataDxfId="3"/>
    <tableColumn id="4" xr3:uid="{BBDCD7E4-40B7-41DB-BBB9-42BA33D177D6}" name="Sector" dataDxfId="2"/>
    <tableColumn id="5" xr3:uid="{696A1665-D109-49DB-ABE7-A3129909680B}" name="Buy Date" dataDxfId="1"/>
    <tableColumn id="6" xr3:uid="{D9350A6C-14DA-4913-B090-2808727EE88E}" name="Buy Price"/>
    <tableColumn id="7" xr3:uid="{33EEE261-FE6A-464F-99F6-2E38668B8D63}" name="Sell Date" dataDxfId="0"/>
    <tableColumn id="8" xr3:uid="{1D7F97E2-2ADC-4CEC-8214-1B6DA7731330}" name="Sell Price"/>
    <tableColumn id="10" xr3:uid="{98628D29-0DF3-4E4E-8772-1F23331BD847}" name="Q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D212-626C-417E-B697-2DEC80D3CFC4}">
  <dimension ref="A1:I29"/>
  <sheetViews>
    <sheetView zoomScale="90" zoomScaleNormal="90" workbookViewId="0">
      <selection activeCell="N22" sqref="N22"/>
    </sheetView>
  </sheetViews>
  <sheetFormatPr defaultRowHeight="14.4" x14ac:dyDescent="0.3"/>
  <cols>
    <col min="1" max="1" width="10" bestFit="1" customWidth="1"/>
    <col min="2" max="2" width="14.77734375" bestFit="1" customWidth="1"/>
    <col min="3" max="3" width="16.33203125" bestFit="1" customWidth="1"/>
    <col min="4" max="4" width="9.21875" bestFit="1" customWidth="1"/>
    <col min="5" max="5" width="14.33203125" bestFit="1" customWidth="1"/>
    <col min="6" max="6" width="10.88671875" bestFit="1" customWidth="1"/>
    <col min="7" max="7" width="14.33203125" bestFit="1" customWidth="1"/>
    <col min="8" max="8" width="11.109375" bestFit="1" customWidth="1"/>
    <col min="9" max="9" width="6.109375" bestFit="1" customWidth="1"/>
  </cols>
  <sheetData>
    <row r="1" spans="1:9" x14ac:dyDescent="0.3">
      <c r="A1" t="s">
        <v>28</v>
      </c>
      <c r="B1" t="s">
        <v>0</v>
      </c>
      <c r="C1" t="s">
        <v>1</v>
      </c>
      <c r="D1" t="s">
        <v>2</v>
      </c>
      <c r="E1" t="s">
        <v>29</v>
      </c>
      <c r="F1" t="s">
        <v>30</v>
      </c>
      <c r="G1" t="s">
        <v>31</v>
      </c>
      <c r="H1" t="s">
        <v>32</v>
      </c>
      <c r="I1" t="s">
        <v>3</v>
      </c>
    </row>
    <row r="2" spans="1:9" x14ac:dyDescent="0.3">
      <c r="A2">
        <v>15</v>
      </c>
      <c r="B2" t="s">
        <v>16</v>
      </c>
      <c r="C2" t="s">
        <v>17</v>
      </c>
      <c r="D2" t="s">
        <v>18</v>
      </c>
      <c r="E2" s="1">
        <v>44564</v>
      </c>
      <c r="F2">
        <v>7302.74</v>
      </c>
      <c r="G2" s="1">
        <v>44578</v>
      </c>
      <c r="H2">
        <v>8134.88</v>
      </c>
      <c r="I2">
        <v>10</v>
      </c>
    </row>
    <row r="3" spans="1:9" x14ac:dyDescent="0.3">
      <c r="A3">
        <v>8</v>
      </c>
      <c r="B3" t="s">
        <v>10</v>
      </c>
      <c r="C3" t="s">
        <v>11</v>
      </c>
      <c r="D3" t="s">
        <v>12</v>
      </c>
      <c r="E3" s="1">
        <v>44578</v>
      </c>
      <c r="F3">
        <v>1823.87</v>
      </c>
      <c r="G3" s="1">
        <v>44606</v>
      </c>
      <c r="H3">
        <v>1582.69</v>
      </c>
      <c r="I3">
        <v>40</v>
      </c>
    </row>
    <row r="4" spans="1:9" x14ac:dyDescent="0.3">
      <c r="A4">
        <v>5</v>
      </c>
      <c r="B4" t="s">
        <v>7</v>
      </c>
      <c r="C4" t="s">
        <v>8</v>
      </c>
      <c r="D4" t="s">
        <v>9</v>
      </c>
      <c r="E4" s="1">
        <v>44564</v>
      </c>
      <c r="F4">
        <v>1451.29</v>
      </c>
      <c r="G4" s="1">
        <v>44620</v>
      </c>
      <c r="H4">
        <v>1393.87</v>
      </c>
      <c r="I4">
        <v>30</v>
      </c>
    </row>
    <row r="5" spans="1:9" x14ac:dyDescent="0.3">
      <c r="A5">
        <v>25</v>
      </c>
      <c r="B5" t="s">
        <v>25</v>
      </c>
      <c r="C5" t="s">
        <v>26</v>
      </c>
      <c r="D5" t="s">
        <v>27</v>
      </c>
      <c r="E5" s="1">
        <v>44564</v>
      </c>
      <c r="F5">
        <v>139.69999999999999</v>
      </c>
      <c r="G5" s="1">
        <v>44620</v>
      </c>
      <c r="H5">
        <v>79.95</v>
      </c>
      <c r="I5">
        <v>200</v>
      </c>
    </row>
    <row r="6" spans="1:9" x14ac:dyDescent="0.3">
      <c r="A6">
        <v>16</v>
      </c>
      <c r="B6" t="s">
        <v>16</v>
      </c>
      <c r="C6" t="s">
        <v>17</v>
      </c>
      <c r="D6" t="s">
        <v>18</v>
      </c>
      <c r="E6" s="1">
        <v>44593</v>
      </c>
      <c r="F6">
        <v>8555.6299999999992</v>
      </c>
      <c r="G6" s="1">
        <v>44634</v>
      </c>
      <c r="H6">
        <v>7201.13</v>
      </c>
      <c r="I6">
        <v>5</v>
      </c>
    </row>
    <row r="7" spans="1:9" x14ac:dyDescent="0.3">
      <c r="A7">
        <v>1</v>
      </c>
      <c r="B7" t="s">
        <v>4</v>
      </c>
      <c r="C7" t="s">
        <v>5</v>
      </c>
      <c r="D7" t="s">
        <v>6</v>
      </c>
      <c r="E7" s="1">
        <v>44564</v>
      </c>
      <c r="F7">
        <v>2349.6</v>
      </c>
      <c r="G7" s="1">
        <v>44652</v>
      </c>
      <c r="H7">
        <v>2638.56</v>
      </c>
      <c r="I7">
        <v>25</v>
      </c>
    </row>
    <row r="8" spans="1:9" x14ac:dyDescent="0.3">
      <c r="A8">
        <v>21</v>
      </c>
      <c r="B8" t="s">
        <v>22</v>
      </c>
      <c r="C8" t="s">
        <v>23</v>
      </c>
      <c r="D8" t="s">
        <v>24</v>
      </c>
      <c r="E8" s="1">
        <v>44564</v>
      </c>
      <c r="F8">
        <v>102.45</v>
      </c>
      <c r="G8" s="1">
        <v>44652</v>
      </c>
      <c r="H8">
        <v>121.02</v>
      </c>
      <c r="I8">
        <v>250</v>
      </c>
    </row>
    <row r="9" spans="1:9" x14ac:dyDescent="0.3">
      <c r="A9">
        <v>18</v>
      </c>
      <c r="B9" t="s">
        <v>19</v>
      </c>
      <c r="C9" t="s">
        <v>20</v>
      </c>
      <c r="D9" t="s">
        <v>21</v>
      </c>
      <c r="E9" s="1">
        <v>44622</v>
      </c>
      <c r="F9">
        <v>832.37</v>
      </c>
      <c r="G9" s="1">
        <v>44669</v>
      </c>
      <c r="H9">
        <v>914.34</v>
      </c>
      <c r="I9">
        <v>50</v>
      </c>
    </row>
    <row r="10" spans="1:9" x14ac:dyDescent="0.3">
      <c r="A10">
        <v>12</v>
      </c>
      <c r="B10" t="s">
        <v>13</v>
      </c>
      <c r="C10" t="s">
        <v>14</v>
      </c>
      <c r="D10" t="s">
        <v>15</v>
      </c>
      <c r="E10" s="1">
        <v>44564</v>
      </c>
      <c r="F10">
        <v>203.75</v>
      </c>
      <c r="G10" s="1">
        <v>44683</v>
      </c>
      <c r="H10">
        <v>251.58</v>
      </c>
      <c r="I10">
        <v>200</v>
      </c>
    </row>
    <row r="11" spans="1:9" x14ac:dyDescent="0.3">
      <c r="A11">
        <v>9</v>
      </c>
      <c r="B11" t="s">
        <v>10</v>
      </c>
      <c r="C11" t="s">
        <v>11</v>
      </c>
      <c r="D11" t="s">
        <v>12</v>
      </c>
      <c r="E11" s="1">
        <v>44652</v>
      </c>
      <c r="F11">
        <v>1775.23</v>
      </c>
      <c r="G11" s="1">
        <v>44697</v>
      </c>
      <c r="H11">
        <v>1401.01</v>
      </c>
      <c r="I11">
        <v>30</v>
      </c>
    </row>
    <row r="12" spans="1:9" x14ac:dyDescent="0.3">
      <c r="A12">
        <v>13</v>
      </c>
      <c r="B12" t="s">
        <v>13</v>
      </c>
      <c r="C12" t="s">
        <v>14</v>
      </c>
      <c r="D12" t="s">
        <v>15</v>
      </c>
      <c r="E12" s="1">
        <v>44669</v>
      </c>
      <c r="F12">
        <v>256.20999999999998</v>
      </c>
      <c r="G12" s="1">
        <v>44697</v>
      </c>
      <c r="H12">
        <v>242.92</v>
      </c>
      <c r="I12">
        <v>150</v>
      </c>
    </row>
    <row r="13" spans="1:9" x14ac:dyDescent="0.3">
      <c r="A13">
        <v>26</v>
      </c>
      <c r="B13" t="s">
        <v>25</v>
      </c>
      <c r="C13" t="s">
        <v>26</v>
      </c>
      <c r="D13" t="s">
        <v>27</v>
      </c>
      <c r="E13" s="1">
        <v>44697</v>
      </c>
      <c r="F13">
        <v>56.85</v>
      </c>
      <c r="G13" s="1">
        <v>44713</v>
      </c>
      <c r="H13">
        <v>74.7</v>
      </c>
      <c r="I13">
        <v>250</v>
      </c>
    </row>
    <row r="14" spans="1:9" x14ac:dyDescent="0.3">
      <c r="A14">
        <v>2</v>
      </c>
      <c r="B14" t="s">
        <v>4</v>
      </c>
      <c r="C14" t="s">
        <v>5</v>
      </c>
      <c r="D14" t="s">
        <v>6</v>
      </c>
      <c r="E14" s="1">
        <v>44683</v>
      </c>
      <c r="F14">
        <v>2744.02</v>
      </c>
      <c r="G14" s="1">
        <v>44727</v>
      </c>
      <c r="H14">
        <v>2579.4</v>
      </c>
      <c r="I14">
        <v>20</v>
      </c>
    </row>
    <row r="15" spans="1:9" x14ac:dyDescent="0.3">
      <c r="A15">
        <v>19</v>
      </c>
      <c r="B15" t="s">
        <v>19</v>
      </c>
      <c r="C15" t="s">
        <v>20</v>
      </c>
      <c r="D15" t="s">
        <v>21</v>
      </c>
      <c r="E15" s="1">
        <v>44683</v>
      </c>
      <c r="F15">
        <v>909.36</v>
      </c>
      <c r="G15" s="1">
        <v>44727</v>
      </c>
      <c r="H15">
        <v>810.63</v>
      </c>
      <c r="I15">
        <v>60</v>
      </c>
    </row>
    <row r="16" spans="1:9" x14ac:dyDescent="0.3">
      <c r="A16">
        <v>22</v>
      </c>
      <c r="B16" t="s">
        <v>22</v>
      </c>
      <c r="C16" t="s">
        <v>23</v>
      </c>
      <c r="D16" t="s">
        <v>24</v>
      </c>
      <c r="E16" s="1">
        <v>44669</v>
      </c>
      <c r="F16">
        <v>122.38</v>
      </c>
      <c r="G16" s="1">
        <v>44743</v>
      </c>
      <c r="H16">
        <v>84.53</v>
      </c>
      <c r="I16">
        <v>300</v>
      </c>
    </row>
    <row r="17" spans="1:9" x14ac:dyDescent="0.3">
      <c r="A17">
        <v>3</v>
      </c>
      <c r="B17" t="s">
        <v>4</v>
      </c>
      <c r="C17" t="s">
        <v>5</v>
      </c>
      <c r="D17" t="s">
        <v>6</v>
      </c>
      <c r="E17" s="1">
        <v>44743</v>
      </c>
      <c r="F17">
        <v>2558.13</v>
      </c>
      <c r="G17" s="1">
        <v>44789</v>
      </c>
      <c r="H17">
        <v>2634.04</v>
      </c>
      <c r="I17">
        <v>30</v>
      </c>
    </row>
    <row r="18" spans="1:9" x14ac:dyDescent="0.3">
      <c r="A18">
        <v>6</v>
      </c>
      <c r="B18" t="s">
        <v>7</v>
      </c>
      <c r="C18" t="s">
        <v>8</v>
      </c>
      <c r="D18" t="s">
        <v>9</v>
      </c>
      <c r="E18" s="1">
        <v>44727</v>
      </c>
      <c r="F18">
        <v>1286.8900000000001</v>
      </c>
      <c r="G18" s="1">
        <v>44789</v>
      </c>
      <c r="H18">
        <v>1485.12</v>
      </c>
      <c r="I18">
        <v>25</v>
      </c>
    </row>
    <row r="19" spans="1:9" x14ac:dyDescent="0.3">
      <c r="A19">
        <v>23</v>
      </c>
      <c r="B19" t="s">
        <v>22</v>
      </c>
      <c r="C19" t="s">
        <v>23</v>
      </c>
      <c r="D19" t="s">
        <v>24</v>
      </c>
      <c r="E19" s="1">
        <v>44789</v>
      </c>
      <c r="F19">
        <v>110.11</v>
      </c>
      <c r="G19" s="1">
        <v>44837</v>
      </c>
      <c r="H19">
        <v>95.24</v>
      </c>
      <c r="I19">
        <v>150</v>
      </c>
    </row>
    <row r="20" spans="1:9" x14ac:dyDescent="0.3">
      <c r="A20">
        <v>10</v>
      </c>
      <c r="B20" t="s">
        <v>10</v>
      </c>
      <c r="C20" t="s">
        <v>11</v>
      </c>
      <c r="D20" t="s">
        <v>12</v>
      </c>
      <c r="E20" s="1">
        <v>44837</v>
      </c>
      <c r="F20">
        <v>1342.54</v>
      </c>
      <c r="G20" s="1">
        <v>44896</v>
      </c>
      <c r="H20">
        <v>1592.8</v>
      </c>
      <c r="I20">
        <v>20</v>
      </c>
    </row>
    <row r="21" spans="1:9" x14ac:dyDescent="0.3">
      <c r="A21">
        <v>27</v>
      </c>
      <c r="B21" t="s">
        <v>25</v>
      </c>
      <c r="C21" t="s">
        <v>26</v>
      </c>
      <c r="D21" t="s">
        <v>27</v>
      </c>
      <c r="E21" s="1">
        <v>44879</v>
      </c>
      <c r="F21">
        <v>74.3</v>
      </c>
      <c r="G21" s="1">
        <v>44928</v>
      </c>
      <c r="H21">
        <v>60.3</v>
      </c>
      <c r="I21">
        <v>150</v>
      </c>
    </row>
    <row r="22" spans="1:9" x14ac:dyDescent="0.3">
      <c r="A22">
        <v>11</v>
      </c>
      <c r="B22" t="s">
        <v>10</v>
      </c>
      <c r="C22" t="s">
        <v>11</v>
      </c>
      <c r="D22" t="s">
        <v>12</v>
      </c>
      <c r="E22" s="1">
        <v>44972</v>
      </c>
      <c r="F22">
        <v>1522.54</v>
      </c>
      <c r="G22" s="1">
        <v>45033</v>
      </c>
      <c r="H22">
        <v>1209.47</v>
      </c>
      <c r="I22">
        <v>25</v>
      </c>
    </row>
    <row r="23" spans="1:9" x14ac:dyDescent="0.3">
      <c r="A23">
        <v>14</v>
      </c>
      <c r="B23" t="s">
        <v>13</v>
      </c>
      <c r="C23" t="s">
        <v>14</v>
      </c>
      <c r="D23" t="s">
        <v>15</v>
      </c>
      <c r="E23" s="1">
        <v>44958</v>
      </c>
      <c r="F23">
        <v>345.39</v>
      </c>
      <c r="G23" s="1">
        <v>45092</v>
      </c>
      <c r="H23">
        <v>448.1</v>
      </c>
      <c r="I23">
        <v>100</v>
      </c>
    </row>
    <row r="24" spans="1:9" x14ac:dyDescent="0.3">
      <c r="A24">
        <v>7</v>
      </c>
      <c r="B24" t="s">
        <v>7</v>
      </c>
      <c r="C24" t="s">
        <v>8</v>
      </c>
      <c r="D24" t="s">
        <v>9</v>
      </c>
      <c r="E24" s="1">
        <v>45000</v>
      </c>
      <c r="F24">
        <v>1560.11</v>
      </c>
      <c r="G24" s="1">
        <v>45110</v>
      </c>
      <c r="H24">
        <v>1719.8</v>
      </c>
      <c r="I24">
        <v>20</v>
      </c>
    </row>
    <row r="25" spans="1:9" x14ac:dyDescent="0.3">
      <c r="A25">
        <v>20</v>
      </c>
      <c r="B25" t="s">
        <v>19</v>
      </c>
      <c r="C25" t="s">
        <v>20</v>
      </c>
      <c r="D25" t="s">
        <v>21</v>
      </c>
      <c r="E25" s="1">
        <v>45000</v>
      </c>
      <c r="F25">
        <v>948.64</v>
      </c>
      <c r="G25" s="1">
        <v>45139</v>
      </c>
      <c r="H25">
        <v>1143.45</v>
      </c>
      <c r="I25">
        <v>40</v>
      </c>
    </row>
    <row r="26" spans="1:9" x14ac:dyDescent="0.3">
      <c r="A26">
        <v>24</v>
      </c>
      <c r="B26" t="s">
        <v>22</v>
      </c>
      <c r="C26" t="s">
        <v>23</v>
      </c>
      <c r="D26" t="s">
        <v>24</v>
      </c>
      <c r="E26" s="1">
        <v>45061</v>
      </c>
      <c r="F26">
        <v>103.67</v>
      </c>
      <c r="G26" s="1">
        <v>45184</v>
      </c>
      <c r="H26">
        <v>131.94999999999999</v>
      </c>
      <c r="I26">
        <v>200</v>
      </c>
    </row>
    <row r="27" spans="1:9" x14ac:dyDescent="0.3">
      <c r="A27">
        <v>17</v>
      </c>
      <c r="B27" t="s">
        <v>16</v>
      </c>
      <c r="C27" t="s">
        <v>17</v>
      </c>
      <c r="D27" t="s">
        <v>18</v>
      </c>
      <c r="E27" s="1">
        <v>45000</v>
      </c>
      <c r="F27">
        <v>8569.36</v>
      </c>
      <c r="G27" s="1">
        <v>45215</v>
      </c>
      <c r="H27">
        <v>10704.5</v>
      </c>
      <c r="I27">
        <v>5</v>
      </c>
    </row>
    <row r="28" spans="1:9" x14ac:dyDescent="0.3">
      <c r="A28">
        <v>28</v>
      </c>
      <c r="B28" t="s">
        <v>25</v>
      </c>
      <c r="C28" t="s">
        <v>26</v>
      </c>
      <c r="D28" t="s">
        <v>27</v>
      </c>
      <c r="E28" s="1">
        <v>44942</v>
      </c>
      <c r="F28">
        <v>54</v>
      </c>
      <c r="G28" s="1">
        <v>45215</v>
      </c>
      <c r="H28">
        <v>111.5</v>
      </c>
      <c r="I28">
        <v>250</v>
      </c>
    </row>
    <row r="29" spans="1:9" x14ac:dyDescent="0.3">
      <c r="A29">
        <v>4</v>
      </c>
      <c r="B29" t="s">
        <v>4</v>
      </c>
      <c r="C29" t="s">
        <v>5</v>
      </c>
      <c r="D29" t="s">
        <v>6</v>
      </c>
      <c r="E29" s="1">
        <v>45124</v>
      </c>
      <c r="F29">
        <v>2737.33</v>
      </c>
      <c r="G29" s="1">
        <v>45230</v>
      </c>
      <c r="H29">
        <v>2287.9</v>
      </c>
      <c r="I29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0838-A183-4A4C-8D66-6D38DE9B8B5D}">
  <dimension ref="A1:AG51"/>
  <sheetViews>
    <sheetView topLeftCell="M1" zoomScale="80" zoomScaleNormal="80" workbookViewId="0">
      <selection activeCell="O33" sqref="O33"/>
    </sheetView>
  </sheetViews>
  <sheetFormatPr defaultRowHeight="14.4" x14ac:dyDescent="0.3"/>
  <cols>
    <col min="1" max="1" width="7.88671875" style="2" bestFit="1" customWidth="1"/>
    <col min="2" max="2" width="15.33203125" style="2" bestFit="1" customWidth="1"/>
    <col min="3" max="3" width="17.21875" style="2" bestFit="1" customWidth="1"/>
    <col min="4" max="4" width="9.77734375" style="2" bestFit="1" customWidth="1"/>
    <col min="5" max="5" width="11.21875" style="4" bestFit="1" customWidth="1"/>
    <col min="6" max="6" width="8.88671875" style="2" bestFit="1" customWidth="1"/>
    <col min="7" max="7" width="11.21875" style="4" bestFit="1" customWidth="1"/>
    <col min="8" max="8" width="8.88671875" style="2" bestFit="1" customWidth="1"/>
    <col min="9" max="9" width="4.44140625" style="2" bestFit="1" customWidth="1"/>
    <col min="10" max="10" width="9.88671875" style="2" customWidth="1"/>
    <col min="11" max="11" width="29" style="2" bestFit="1" customWidth="1"/>
    <col min="12" max="12" width="18.109375" style="2" bestFit="1" customWidth="1"/>
    <col min="13" max="13" width="12" style="6" bestFit="1" customWidth="1"/>
    <col min="14" max="14" width="9" style="2" bestFit="1" customWidth="1"/>
    <col min="15" max="15" width="12.33203125" style="2" bestFit="1" customWidth="1"/>
    <col min="16" max="16" width="11.21875" style="2" bestFit="1" customWidth="1"/>
    <col min="17" max="17" width="10" style="2" bestFit="1" customWidth="1"/>
    <col min="18" max="18" width="11.33203125" bestFit="1" customWidth="1"/>
    <col min="20" max="20" width="21" style="2" bestFit="1" customWidth="1"/>
    <col min="21" max="21" width="12.33203125" style="2" bestFit="1" customWidth="1"/>
    <col min="22" max="22" width="11.109375" style="2" customWidth="1"/>
    <col min="23" max="23" width="8.88671875" style="2"/>
    <col min="24" max="24" width="15.33203125" style="2" bestFit="1" customWidth="1"/>
    <col min="25" max="25" width="10.5546875" style="2" bestFit="1" customWidth="1"/>
    <col min="26" max="26" width="11.109375" style="2" bestFit="1" customWidth="1"/>
    <col min="27" max="27" width="9" style="2" bestFit="1" customWidth="1"/>
    <col min="28" max="28" width="14.77734375" style="2" bestFit="1" customWidth="1"/>
    <col min="29" max="29" width="14.109375" style="2" bestFit="1" customWidth="1"/>
    <col min="30" max="30" width="18" style="2" bestFit="1" customWidth="1"/>
    <col min="31" max="31" width="11" style="2" bestFit="1" customWidth="1"/>
    <col min="32" max="32" width="11.21875" style="2" bestFit="1" customWidth="1"/>
    <col min="33" max="33" width="14.5546875" style="2" bestFit="1" customWidth="1"/>
    <col min="34" max="16384" width="8.88671875" style="2"/>
  </cols>
  <sheetData>
    <row r="1" spans="1:33" x14ac:dyDescent="0.3">
      <c r="A1" s="2" t="str" cm="1">
        <f t="array" ref="A1:I29">Trades[#All]</f>
        <v>Trade ID</v>
      </c>
      <c r="B1" s="2" t="str">
        <v>Ticker</v>
      </c>
      <c r="C1" s="2" t="str">
        <v>Company</v>
      </c>
      <c r="D1" s="2" t="str">
        <v>Sector</v>
      </c>
      <c r="E1" s="4" t="str">
        <v>Buy Date</v>
      </c>
      <c r="F1" s="2" t="str">
        <v>Buy Price</v>
      </c>
      <c r="G1" s="4" t="str">
        <v>Sell Date</v>
      </c>
      <c r="H1" s="2" t="str">
        <v>Sell Price</v>
      </c>
      <c r="I1" s="2" t="str">
        <v>Qty</v>
      </c>
      <c r="K1" s="2" t="s">
        <v>33</v>
      </c>
      <c r="L1" s="2" t="s">
        <v>34</v>
      </c>
      <c r="M1" s="6" t="s">
        <v>36</v>
      </c>
      <c r="N1" s="2" t="s">
        <v>35</v>
      </c>
      <c r="O1" s="2" t="s">
        <v>37</v>
      </c>
      <c r="P1" s="2" t="s">
        <v>38</v>
      </c>
      <c r="Q1" s="2" t="s">
        <v>39</v>
      </c>
      <c r="R1" s="2" t="s">
        <v>55</v>
      </c>
      <c r="X1" s="2" t="s">
        <v>43</v>
      </c>
      <c r="Y1" s="2" t="s">
        <v>44</v>
      </c>
      <c r="Z1" s="2" t="s">
        <v>45</v>
      </c>
      <c r="AA1" s="2" t="s">
        <v>35</v>
      </c>
      <c r="AB1" s="2" t="s">
        <v>51</v>
      </c>
      <c r="AC1" s="2" t="s">
        <v>53</v>
      </c>
      <c r="AD1" s="2" t="s">
        <v>54</v>
      </c>
      <c r="AF1" s="2" t="s">
        <v>58</v>
      </c>
      <c r="AG1" s="2" t="s">
        <v>59</v>
      </c>
    </row>
    <row r="2" spans="1:33" x14ac:dyDescent="0.3">
      <c r="A2" s="2">
        <v>15</v>
      </c>
      <c r="B2" s="2" t="str">
        <v>MARUTI.NS</v>
      </c>
      <c r="C2" s="2" t="str">
        <v>Maruti Suzuki</v>
      </c>
      <c r="D2" s="2" t="str">
        <v>Auto</v>
      </c>
      <c r="E2" s="4">
        <v>44564</v>
      </c>
      <c r="F2" s="2">
        <v>7302.74</v>
      </c>
      <c r="G2" s="4">
        <v>44578</v>
      </c>
      <c r="H2" s="2">
        <v>8134.88</v>
      </c>
      <c r="I2" s="2">
        <v>10</v>
      </c>
      <c r="K2" s="2">
        <f t="shared" ref="K2:K29" si="0">I2*F2</f>
        <v>73027.399999999994</v>
      </c>
      <c r="L2" s="2">
        <f t="shared" ref="L2:L29" si="1">I2*H2</f>
        <v>81348.800000000003</v>
      </c>
      <c r="M2" s="6">
        <f t="shared" ref="M2:M29" si="2">L2-K2</f>
        <v>8321.4000000000087</v>
      </c>
      <c r="N2" s="3">
        <f>M2/K2</f>
        <v>0.11394901091918937</v>
      </c>
      <c r="O2" s="2">
        <f t="shared" ref="O2:O29" si="3">G2-E2</f>
        <v>14</v>
      </c>
      <c r="P2" s="2" t="str">
        <f>IF(M2&gt;1,"Win","Loss")</f>
        <v>Win</v>
      </c>
      <c r="Q2" s="5" t="str">
        <f t="shared" ref="Q2:Q22" si="4">TEXT(G2, "MMM-YY")</f>
        <v>Jan-22</v>
      </c>
      <c r="R2" s="9">
        <f t="shared" ref="R2:R29" si="5">(H2-F2)/F2</f>
        <v>0.11394901091918928</v>
      </c>
      <c r="T2" s="19" t="s">
        <v>40</v>
      </c>
      <c r="U2" s="19"/>
      <c r="V2" s="19"/>
      <c r="X2" s="2" t="str" cm="1">
        <f t="array" ref="X2:X9">_xlfn.UNIQUE(B2:B29)</f>
        <v>MARUTI.NS</v>
      </c>
      <c r="Y2" s="2" cm="1">
        <f t="array" ref="Y2:Y9">SUMIF(B2:B29,_xlfn.ANCHORARRAY(X2),M2:M29)</f>
        <v>12224.600000000013</v>
      </c>
      <c r="Z2" s="2" cm="1">
        <f t="array" ref="Z2:Z9">SUMIF(B2:B29,_xlfn.ANCHORARRAY(X2),K2:K29)</f>
        <v>158652.34999999998</v>
      </c>
      <c r="AA2" s="3">
        <f>Y2/Z2</f>
        <v>7.7052750873214393E-2</v>
      </c>
      <c r="AB2" s="2" cm="1">
        <f t="array" ref="AB2:AB9">AVERAGEIF(B2:B29,X2:X9,O2:O29)</f>
        <v>90</v>
      </c>
      <c r="AC2" s="5" t="str" cm="1">
        <f t="array" ref="AC2:AC18">_xlfn.UNIQUE(Q2:Q29)</f>
        <v>Jan-22</v>
      </c>
      <c r="AD2" s="2">
        <f>COUNTIF(Q2:Q29,AC2)</f>
        <v>1</v>
      </c>
      <c r="AF2" s="4" cm="1">
        <f t="array" ref="AF2:AF29">_xlfn._xlws.SORT(G2:G29)</f>
        <v>44578</v>
      </c>
      <c r="AG2" s="6">
        <f>SUM($M$2:M2)</f>
        <v>8321.4000000000087</v>
      </c>
    </row>
    <row r="3" spans="1:33" x14ac:dyDescent="0.3">
      <c r="A3" s="2">
        <v>8</v>
      </c>
      <c r="B3" s="2" t="str">
        <v>INFY.NS</v>
      </c>
      <c r="C3" s="2" t="str">
        <v>Infosys</v>
      </c>
      <c r="D3" s="2" t="str">
        <v>IT</v>
      </c>
      <c r="E3" s="4">
        <v>44578</v>
      </c>
      <c r="F3" s="2">
        <v>1823.87</v>
      </c>
      <c r="G3" s="4">
        <v>44606</v>
      </c>
      <c r="H3" s="2">
        <v>1582.69</v>
      </c>
      <c r="I3" s="2">
        <v>40</v>
      </c>
      <c r="K3" s="2">
        <f t="shared" si="0"/>
        <v>72954.799999999988</v>
      </c>
      <c r="L3" s="2">
        <f t="shared" si="1"/>
        <v>63307.600000000006</v>
      </c>
      <c r="M3" s="6">
        <f t="shared" si="2"/>
        <v>-9647.1999999999825</v>
      </c>
      <c r="N3" s="3">
        <f t="shared" ref="N3:N29" si="6">M3/K3</f>
        <v>-0.13223530185813659</v>
      </c>
      <c r="O3" s="2">
        <f t="shared" si="3"/>
        <v>28</v>
      </c>
      <c r="P3" s="2" t="str">
        <f t="shared" ref="P3:P29" si="7">IF(M3&gt;1,"Win","Loss")</f>
        <v>Loss</v>
      </c>
      <c r="Q3" s="5" t="str">
        <f t="shared" si="4"/>
        <v>Feb-22</v>
      </c>
      <c r="R3" s="9">
        <f t="shared" si="5"/>
        <v>-0.13223530185813673</v>
      </c>
      <c r="T3" s="8">
        <f>SUM(M2:M29)</f>
        <v>19734.750000000029</v>
      </c>
      <c r="X3" s="2" t="str">
        <v>INFY.NS</v>
      </c>
      <c r="Y3" s="2">
        <v>-23695.34999999998</v>
      </c>
      <c r="Z3" s="2">
        <v>191125.99999999997</v>
      </c>
      <c r="AA3" s="3">
        <f t="shared" ref="AA3:AA9" si="8">Y3/Z3</f>
        <v>-0.12397763778868381</v>
      </c>
      <c r="AB3" s="2">
        <v>48.25</v>
      </c>
      <c r="AC3" s="5" t="str">
        <v>Feb-22</v>
      </c>
      <c r="AD3" s="2">
        <f t="shared" ref="AD3:AD18" si="9">COUNTIF(Q3:Q30,AC3)</f>
        <v>3</v>
      </c>
      <c r="AF3" s="4">
        <v>44606</v>
      </c>
      <c r="AG3" s="6">
        <f>SUM($M$2:M3)</f>
        <v>-1325.7999999999738</v>
      </c>
    </row>
    <row r="4" spans="1:33" x14ac:dyDescent="0.3">
      <c r="A4" s="2">
        <v>5</v>
      </c>
      <c r="B4" s="2" t="str">
        <v>HDFCBANK.NS</v>
      </c>
      <c r="C4" s="2" t="str">
        <v>HDFC Bank</v>
      </c>
      <c r="D4" s="2" t="str">
        <v>Finance</v>
      </c>
      <c r="E4" s="4">
        <v>44564</v>
      </c>
      <c r="F4" s="2">
        <v>1451.29</v>
      </c>
      <c r="G4" s="4">
        <v>44620</v>
      </c>
      <c r="H4" s="2">
        <v>1393.87</v>
      </c>
      <c r="I4" s="2">
        <v>30</v>
      </c>
      <c r="K4" s="2">
        <f t="shared" si="0"/>
        <v>43538.7</v>
      </c>
      <c r="L4" s="2">
        <f t="shared" si="1"/>
        <v>41816.1</v>
      </c>
      <c r="M4" s="6">
        <f t="shared" si="2"/>
        <v>-1722.5999999999985</v>
      </c>
      <c r="N4" s="3">
        <f t="shared" si="6"/>
        <v>-3.9564800970171336E-2</v>
      </c>
      <c r="O4" s="2">
        <f t="shared" si="3"/>
        <v>56</v>
      </c>
      <c r="P4" s="2" t="str">
        <f t="shared" si="7"/>
        <v>Loss</v>
      </c>
      <c r="Q4" s="5" t="str">
        <f t="shared" si="4"/>
        <v>Feb-22</v>
      </c>
      <c r="R4" s="9">
        <f t="shared" si="5"/>
        <v>-3.9564800970171413E-2</v>
      </c>
      <c r="X4" s="2" t="str">
        <v>HDFCBANK.NS</v>
      </c>
      <c r="Y4" s="2">
        <v>6426.9500000000007</v>
      </c>
      <c r="Z4" s="2">
        <v>106913.15</v>
      </c>
      <c r="AA4" s="3">
        <f t="shared" si="8"/>
        <v>6.011374653164743E-2</v>
      </c>
      <c r="AB4" s="2">
        <v>76</v>
      </c>
      <c r="AC4" s="5" t="str">
        <v>Mar-22</v>
      </c>
      <c r="AD4" s="2">
        <f t="shared" si="9"/>
        <v>1</v>
      </c>
      <c r="AF4" s="4">
        <v>44620</v>
      </c>
      <c r="AG4" s="6">
        <f>SUM($M$2:M4)</f>
        <v>-3048.3999999999724</v>
      </c>
    </row>
    <row r="5" spans="1:33" ht="14.4" customHeight="1" x14ac:dyDescent="0.3">
      <c r="A5" s="2">
        <v>25</v>
      </c>
      <c r="B5" s="2" t="str">
        <v>ZOMATO.NS</v>
      </c>
      <c r="C5" s="2" t="str">
        <v>Zomato Limited</v>
      </c>
      <c r="D5" s="2" t="str">
        <v>Food Tech</v>
      </c>
      <c r="E5" s="4">
        <v>44564</v>
      </c>
      <c r="F5" s="2">
        <v>139.69999999999999</v>
      </c>
      <c r="G5" s="4">
        <v>44620</v>
      </c>
      <c r="H5" s="2">
        <v>79.95</v>
      </c>
      <c r="I5" s="2">
        <v>200</v>
      </c>
      <c r="K5" s="2">
        <f t="shared" si="0"/>
        <v>27939.999999999996</v>
      </c>
      <c r="L5" s="2">
        <f t="shared" si="1"/>
        <v>15990</v>
      </c>
      <c r="M5" s="6">
        <f t="shared" si="2"/>
        <v>-11949.999999999996</v>
      </c>
      <c r="N5" s="3">
        <f t="shared" si="6"/>
        <v>-0.42770221904080163</v>
      </c>
      <c r="O5" s="2">
        <f t="shared" si="3"/>
        <v>56</v>
      </c>
      <c r="P5" s="2" t="str">
        <f t="shared" si="7"/>
        <v>Loss</v>
      </c>
      <c r="Q5" s="5" t="str">
        <f t="shared" si="4"/>
        <v>Feb-22</v>
      </c>
      <c r="R5" s="9">
        <f t="shared" si="5"/>
        <v>-0.42770221904080163</v>
      </c>
      <c r="T5" s="21" t="s">
        <v>41</v>
      </c>
      <c r="U5" s="21"/>
      <c r="V5" s="21"/>
      <c r="W5" s="10"/>
      <c r="X5" s="2" t="str">
        <v>ZOMATO.NS</v>
      </c>
      <c r="Y5" s="2">
        <v>4787.5000000000036</v>
      </c>
      <c r="Z5" s="2">
        <v>66797.5</v>
      </c>
      <c r="AA5" s="3">
        <f t="shared" si="8"/>
        <v>7.1671844006138005E-2</v>
      </c>
      <c r="AB5" s="9">
        <v>98.5</v>
      </c>
      <c r="AC5" s="5" t="str">
        <v>Apr-22</v>
      </c>
      <c r="AD5" s="2">
        <f t="shared" si="9"/>
        <v>3</v>
      </c>
      <c r="AF5" s="4">
        <v>44620</v>
      </c>
      <c r="AG5" s="6">
        <f>SUM($M$2:M5)</f>
        <v>-14998.399999999969</v>
      </c>
    </row>
    <row r="6" spans="1:33" x14ac:dyDescent="0.3">
      <c r="A6" s="2">
        <v>16</v>
      </c>
      <c r="B6" s="2" t="str">
        <v>MARUTI.NS</v>
      </c>
      <c r="C6" s="2" t="str">
        <v>Maruti Suzuki</v>
      </c>
      <c r="D6" s="2" t="str">
        <v>Auto</v>
      </c>
      <c r="E6" s="4">
        <v>44593</v>
      </c>
      <c r="F6" s="2">
        <v>8555.6299999999992</v>
      </c>
      <c r="G6" s="4">
        <v>44634</v>
      </c>
      <c r="H6" s="2">
        <v>7201.13</v>
      </c>
      <c r="I6" s="2">
        <v>5</v>
      </c>
      <c r="K6" s="2">
        <f t="shared" si="0"/>
        <v>42778.149999999994</v>
      </c>
      <c r="L6" s="2">
        <f t="shared" si="1"/>
        <v>36005.65</v>
      </c>
      <c r="M6" s="6">
        <f t="shared" si="2"/>
        <v>-6772.4999999999927</v>
      </c>
      <c r="N6" s="3">
        <f t="shared" si="6"/>
        <v>-0.1583168042563784</v>
      </c>
      <c r="O6" s="2">
        <f t="shared" si="3"/>
        <v>41</v>
      </c>
      <c r="P6" s="2" t="str">
        <f t="shared" si="7"/>
        <v>Loss</v>
      </c>
      <c r="Q6" s="5" t="str">
        <f t="shared" si="4"/>
        <v>Mar-22</v>
      </c>
      <c r="R6" s="9">
        <f t="shared" si="5"/>
        <v>-0.15831680425637845</v>
      </c>
      <c r="T6" s="7" t="str">
        <f>INDEX(X3:X10, MATCH(MAX(AA3:AA10), AA3:AA10, 0)) &amp; " (" &amp; TEXT(MAX(AA3:AA10), "0.00%") &amp; ")"</f>
        <v>ITC.NS (15.69%)</v>
      </c>
      <c r="V6" s="3"/>
      <c r="X6" s="2" t="str">
        <v>RELIANCE.NS</v>
      </c>
      <c r="Y6" s="2">
        <v>-532.55000000001019</v>
      </c>
      <c r="Z6" s="2">
        <v>231424.25</v>
      </c>
      <c r="AA6" s="3">
        <f t="shared" si="8"/>
        <v>-2.3011849449658373E-3</v>
      </c>
      <c r="AB6" s="2">
        <v>71</v>
      </c>
      <c r="AC6" s="5" t="str">
        <v>May-22</v>
      </c>
      <c r="AD6" s="2">
        <f t="shared" si="9"/>
        <v>3</v>
      </c>
      <c r="AF6" s="4">
        <v>44634</v>
      </c>
      <c r="AG6" s="6">
        <f>SUM($M$2:M6)</f>
        <v>-21770.899999999961</v>
      </c>
    </row>
    <row r="7" spans="1:33" x14ac:dyDescent="0.3">
      <c r="A7" s="2">
        <v>1</v>
      </c>
      <c r="B7" s="2" t="str">
        <v>RELIANCE.NS</v>
      </c>
      <c r="C7" s="2" t="str">
        <v>Reliance Industries</v>
      </c>
      <c r="D7" s="2" t="str">
        <v>Energy</v>
      </c>
      <c r="E7" s="4">
        <v>44564</v>
      </c>
      <c r="F7" s="2">
        <v>2349.6</v>
      </c>
      <c r="G7" s="4">
        <v>44652</v>
      </c>
      <c r="H7" s="2">
        <v>2638.56</v>
      </c>
      <c r="I7" s="2">
        <v>25</v>
      </c>
      <c r="K7" s="2">
        <f t="shared" si="0"/>
        <v>58740</v>
      </c>
      <c r="L7" s="2">
        <f t="shared" si="1"/>
        <v>65964</v>
      </c>
      <c r="M7" s="6">
        <f t="shared" si="2"/>
        <v>7224</v>
      </c>
      <c r="N7" s="3">
        <f t="shared" si="6"/>
        <v>0.1229826353421859</v>
      </c>
      <c r="O7" s="2">
        <f t="shared" si="3"/>
        <v>88</v>
      </c>
      <c r="P7" s="2" t="str">
        <f t="shared" si="7"/>
        <v>Win</v>
      </c>
      <c r="Q7" s="5" t="str">
        <f t="shared" si="4"/>
        <v>Apr-22</v>
      </c>
      <c r="R7" s="9">
        <f t="shared" si="5"/>
        <v>0.12298263534218593</v>
      </c>
      <c r="X7" s="2" t="str">
        <v>TATASTEEL.NS</v>
      </c>
      <c r="Y7" s="2">
        <v>-3287.0000000000036</v>
      </c>
      <c r="Z7" s="2">
        <v>99577</v>
      </c>
      <c r="AA7" s="3">
        <f t="shared" si="8"/>
        <v>-3.3009630738021871E-2</v>
      </c>
      <c r="AB7" s="9">
        <v>83.25</v>
      </c>
      <c r="AC7" s="5" t="str">
        <v>Jun-22</v>
      </c>
      <c r="AD7" s="2">
        <f t="shared" si="9"/>
        <v>3</v>
      </c>
      <c r="AF7" s="4">
        <v>44652</v>
      </c>
      <c r="AG7" s="6">
        <f>SUM($M$2:M7)</f>
        <v>-14546.899999999961</v>
      </c>
    </row>
    <row r="8" spans="1:33" x14ac:dyDescent="0.3">
      <c r="A8" s="2">
        <v>21</v>
      </c>
      <c r="B8" s="2" t="str">
        <v>TATASTEEL.NS</v>
      </c>
      <c r="C8" s="2" t="str">
        <v>Tata Steel</v>
      </c>
      <c r="D8" s="2" t="str">
        <v>Metal</v>
      </c>
      <c r="E8" s="4">
        <v>44564</v>
      </c>
      <c r="F8" s="2">
        <v>102.45</v>
      </c>
      <c r="G8" s="4">
        <v>44652</v>
      </c>
      <c r="H8" s="2">
        <v>121.02</v>
      </c>
      <c r="I8" s="2">
        <v>250</v>
      </c>
      <c r="K8" s="2">
        <f t="shared" si="0"/>
        <v>25612.5</v>
      </c>
      <c r="L8" s="2">
        <f t="shared" si="1"/>
        <v>30255</v>
      </c>
      <c r="M8" s="6">
        <f t="shared" si="2"/>
        <v>4642.5</v>
      </c>
      <c r="N8" s="3">
        <f t="shared" si="6"/>
        <v>0.18125915080527086</v>
      </c>
      <c r="O8" s="2">
        <f t="shared" si="3"/>
        <v>88</v>
      </c>
      <c r="P8" s="2" t="str">
        <f t="shared" si="7"/>
        <v>Win</v>
      </c>
      <c r="Q8" s="5" t="str">
        <f t="shared" si="4"/>
        <v>Apr-22</v>
      </c>
      <c r="R8" s="9">
        <f t="shared" si="5"/>
        <v>0.1812591508052708</v>
      </c>
      <c r="T8" s="20" t="s">
        <v>42</v>
      </c>
      <c r="U8" s="20"/>
      <c r="V8" s="20"/>
      <c r="W8"/>
      <c r="X8" s="2" t="str">
        <v>SUNPHARMA.NS</v>
      </c>
      <c r="Y8" s="2">
        <v>5967.1000000000058</v>
      </c>
      <c r="Z8" s="2">
        <v>134125.70000000001</v>
      </c>
      <c r="AA8" s="3">
        <f t="shared" si="8"/>
        <v>4.4488863804625106E-2</v>
      </c>
      <c r="AB8" s="2">
        <v>76.666666666666671</v>
      </c>
      <c r="AC8" s="5" t="str">
        <v>Jul-22</v>
      </c>
      <c r="AD8" s="2">
        <f t="shared" si="9"/>
        <v>1</v>
      </c>
      <c r="AF8" s="4">
        <v>44652</v>
      </c>
      <c r="AG8" s="6">
        <f>SUM($M$2:M8)</f>
        <v>-9904.3999999999614</v>
      </c>
    </row>
    <row r="9" spans="1:33" x14ac:dyDescent="0.3">
      <c r="A9" s="2">
        <v>18</v>
      </c>
      <c r="B9" s="2" t="str">
        <v>SUNPHARMA.NS</v>
      </c>
      <c r="C9" s="2" t="str">
        <v>Sun Pharma</v>
      </c>
      <c r="D9" s="2" t="str">
        <v>Pharma</v>
      </c>
      <c r="E9" s="4">
        <v>44622</v>
      </c>
      <c r="F9" s="2">
        <v>832.37</v>
      </c>
      <c r="G9" s="4">
        <v>44669</v>
      </c>
      <c r="H9" s="2">
        <v>914.34</v>
      </c>
      <c r="I9" s="2">
        <v>50</v>
      </c>
      <c r="K9" s="2">
        <f t="shared" si="0"/>
        <v>41618.5</v>
      </c>
      <c r="L9" s="2">
        <f t="shared" si="1"/>
        <v>45717</v>
      </c>
      <c r="M9" s="6">
        <f t="shared" si="2"/>
        <v>4098.5</v>
      </c>
      <c r="N9" s="3">
        <f t="shared" si="6"/>
        <v>9.8477840383483312E-2</v>
      </c>
      <c r="O9" s="2">
        <f t="shared" si="3"/>
        <v>47</v>
      </c>
      <c r="P9" s="2" t="str">
        <f t="shared" si="7"/>
        <v>Win</v>
      </c>
      <c r="Q9" s="5" t="str">
        <f t="shared" si="4"/>
        <v>Apr-22</v>
      </c>
      <c r="R9" s="9">
        <f t="shared" si="5"/>
        <v>9.8477840383483339E-2</v>
      </c>
      <c r="T9" s="2" t="str">
        <f>INDEX(X12:X20, MATCH(MAX(Y12:Y20), Y12:Y20, 0)) &amp; "- ₹" &amp; TEXT(MAX(Y12:Y20), "#,##0")</f>
        <v>FMCG- ₹17,844</v>
      </c>
      <c r="X9" s="2" t="str">
        <v>ITC.NS</v>
      </c>
      <c r="Y9" s="2">
        <v>17843.5</v>
      </c>
      <c r="Z9" s="2">
        <v>113720.5</v>
      </c>
      <c r="AA9" s="3">
        <f t="shared" si="8"/>
        <v>0.1569066263338624</v>
      </c>
      <c r="AB9" s="2">
        <v>93.666666666666671</v>
      </c>
      <c r="AC9" s="5" t="str">
        <v>Aug-22</v>
      </c>
      <c r="AD9" s="2">
        <f t="shared" si="9"/>
        <v>2</v>
      </c>
      <c r="AF9" s="4">
        <v>44669</v>
      </c>
      <c r="AG9" s="6">
        <f>SUM($M$2:M9)</f>
        <v>-5805.8999999999614</v>
      </c>
    </row>
    <row r="10" spans="1:33" x14ac:dyDescent="0.3">
      <c r="A10" s="2">
        <v>12</v>
      </c>
      <c r="B10" s="2" t="str">
        <v>ITC.NS</v>
      </c>
      <c r="C10" s="2" t="str">
        <v>ITC Limited</v>
      </c>
      <c r="D10" s="2" t="str">
        <v>FMCG</v>
      </c>
      <c r="E10" s="4">
        <v>44564</v>
      </c>
      <c r="F10" s="2">
        <v>203.75</v>
      </c>
      <c r="G10" s="4">
        <v>44683</v>
      </c>
      <c r="H10" s="2">
        <v>251.58</v>
      </c>
      <c r="I10" s="2">
        <v>200</v>
      </c>
      <c r="K10" s="2">
        <f t="shared" si="0"/>
        <v>40750</v>
      </c>
      <c r="L10" s="2">
        <f t="shared" si="1"/>
        <v>50316</v>
      </c>
      <c r="M10" s="6">
        <f t="shared" si="2"/>
        <v>9566</v>
      </c>
      <c r="N10" s="3">
        <f t="shared" si="6"/>
        <v>0.23474846625766871</v>
      </c>
      <c r="O10" s="2">
        <f t="shared" si="3"/>
        <v>119</v>
      </c>
      <c r="P10" s="2" t="str">
        <f t="shared" si="7"/>
        <v>Win</v>
      </c>
      <c r="Q10" s="5" t="str">
        <f t="shared" si="4"/>
        <v>May-22</v>
      </c>
      <c r="R10" s="9">
        <f t="shared" si="5"/>
        <v>0.23474846625766876</v>
      </c>
      <c r="AC10" s="5" t="str">
        <v>Oct-22</v>
      </c>
      <c r="AD10" s="2">
        <f t="shared" si="9"/>
        <v>1</v>
      </c>
      <c r="AF10" s="4">
        <v>44683</v>
      </c>
      <c r="AG10" s="6">
        <f>SUM($M$2:M10)</f>
        <v>3760.1000000000386</v>
      </c>
    </row>
    <row r="11" spans="1:33" x14ac:dyDescent="0.3">
      <c r="A11" s="2">
        <v>9</v>
      </c>
      <c r="B11" s="2" t="str">
        <v>INFY.NS</v>
      </c>
      <c r="C11" s="2" t="str">
        <v>Infosys</v>
      </c>
      <c r="D11" s="2" t="str">
        <v>IT</v>
      </c>
      <c r="E11" s="4">
        <v>44652</v>
      </c>
      <c r="F11" s="2">
        <v>1775.23</v>
      </c>
      <c r="G11" s="4">
        <v>44697</v>
      </c>
      <c r="H11" s="2">
        <v>1401.01</v>
      </c>
      <c r="I11" s="2">
        <v>30</v>
      </c>
      <c r="K11" s="2">
        <f t="shared" si="0"/>
        <v>53256.9</v>
      </c>
      <c r="L11" s="2">
        <f t="shared" si="1"/>
        <v>42030.3</v>
      </c>
      <c r="M11" s="6">
        <f t="shared" si="2"/>
        <v>-11226.599999999999</v>
      </c>
      <c r="N11" s="3">
        <f t="shared" si="6"/>
        <v>-0.21080085397385123</v>
      </c>
      <c r="O11" s="2">
        <f t="shared" si="3"/>
        <v>45</v>
      </c>
      <c r="P11" s="2" t="str">
        <f t="shared" si="7"/>
        <v>Loss</v>
      </c>
      <c r="Q11" s="5" t="str">
        <f t="shared" si="4"/>
        <v>May-22</v>
      </c>
      <c r="R11" s="9">
        <f t="shared" si="5"/>
        <v>-0.21080085397385129</v>
      </c>
      <c r="AC11" s="5" t="str">
        <v>Dec-22</v>
      </c>
      <c r="AD11" s="2">
        <f t="shared" si="9"/>
        <v>1</v>
      </c>
      <c r="AF11" s="4">
        <v>44697</v>
      </c>
      <c r="AG11" s="6">
        <f>SUM($M$2:M11)</f>
        <v>-7466.49999999996</v>
      </c>
    </row>
    <row r="12" spans="1:33" x14ac:dyDescent="0.3">
      <c r="A12" s="2">
        <v>13</v>
      </c>
      <c r="B12" s="2" t="str">
        <v>ITC.NS</v>
      </c>
      <c r="C12" s="2" t="str">
        <v>ITC Limited</v>
      </c>
      <c r="D12" s="2" t="str">
        <v>FMCG</v>
      </c>
      <c r="E12" s="4">
        <v>44669</v>
      </c>
      <c r="F12" s="2">
        <v>256.20999999999998</v>
      </c>
      <c r="G12" s="4">
        <v>44697</v>
      </c>
      <c r="H12" s="2">
        <v>242.92</v>
      </c>
      <c r="I12" s="2">
        <v>150</v>
      </c>
      <c r="K12" s="2">
        <f t="shared" si="0"/>
        <v>38431.5</v>
      </c>
      <c r="L12" s="2">
        <f t="shared" si="1"/>
        <v>36438</v>
      </c>
      <c r="M12" s="6">
        <f t="shared" si="2"/>
        <v>-1993.5</v>
      </c>
      <c r="N12" s="3">
        <f t="shared" si="6"/>
        <v>-5.1871511650599118E-2</v>
      </c>
      <c r="O12" s="2">
        <f t="shared" si="3"/>
        <v>28</v>
      </c>
      <c r="P12" s="2" t="str">
        <f t="shared" si="7"/>
        <v>Loss</v>
      </c>
      <c r="Q12" s="5" t="str">
        <f t="shared" si="4"/>
        <v>May-22</v>
      </c>
      <c r="R12" s="9">
        <f t="shared" si="5"/>
        <v>-5.1871511650599091E-2</v>
      </c>
      <c r="T12" s="19" t="s">
        <v>47</v>
      </c>
      <c r="U12" s="19"/>
      <c r="V12" s="19"/>
      <c r="X12" s="2" t="s">
        <v>46</v>
      </c>
      <c r="Y12" s="2" t="s">
        <v>44</v>
      </c>
      <c r="AC12" s="5" t="str">
        <v>Jan-23</v>
      </c>
      <c r="AD12" s="2">
        <f t="shared" si="9"/>
        <v>1</v>
      </c>
      <c r="AF12" s="4">
        <v>44697</v>
      </c>
      <c r="AG12" s="6">
        <f>SUM($M$2:M12)</f>
        <v>-9459.99999999996</v>
      </c>
    </row>
    <row r="13" spans="1:33" x14ac:dyDescent="0.3">
      <c r="A13" s="2">
        <v>26</v>
      </c>
      <c r="B13" s="2" t="str">
        <v>ZOMATO.NS</v>
      </c>
      <c r="C13" s="2" t="str">
        <v>Zomato Limited</v>
      </c>
      <c r="D13" s="2" t="str">
        <v>Food Tech</v>
      </c>
      <c r="E13" s="4">
        <v>44697</v>
      </c>
      <c r="F13" s="2">
        <v>56.85</v>
      </c>
      <c r="G13" s="4">
        <v>44713</v>
      </c>
      <c r="H13" s="2">
        <v>74.7</v>
      </c>
      <c r="I13" s="2">
        <v>250</v>
      </c>
      <c r="K13" s="2">
        <f t="shared" si="0"/>
        <v>14212.5</v>
      </c>
      <c r="L13" s="2">
        <f t="shared" si="1"/>
        <v>18675</v>
      </c>
      <c r="M13" s="6">
        <f t="shared" si="2"/>
        <v>4462.5</v>
      </c>
      <c r="N13" s="3">
        <f t="shared" si="6"/>
        <v>0.31398416886543534</v>
      </c>
      <c r="O13" s="2">
        <f t="shared" si="3"/>
        <v>16</v>
      </c>
      <c r="P13" s="2" t="str">
        <f t="shared" si="7"/>
        <v>Win</v>
      </c>
      <c r="Q13" s="5" t="str">
        <f t="shared" si="4"/>
        <v>Jun-22</v>
      </c>
      <c r="R13" s="9">
        <f t="shared" si="5"/>
        <v>0.3139841688654354</v>
      </c>
      <c r="T13" s="7">
        <f>Y23/Y24</f>
        <v>0.5357142857142857</v>
      </c>
      <c r="X13" s="2" t="str" cm="1">
        <f t="array" ref="X13:X20">_xlfn.UNIQUE(D2:D29)</f>
        <v>Auto</v>
      </c>
      <c r="Y13" s="2" cm="1">
        <f t="array" ref="Y13:Y20">SUMIF(D2:D29,_xlfn.ANCHORARRAY(X13),M2:M29)</f>
        <v>12224.600000000013</v>
      </c>
      <c r="AC13" s="5" t="str">
        <v>Apr-23</v>
      </c>
      <c r="AD13" s="2">
        <f t="shared" si="9"/>
        <v>1</v>
      </c>
      <c r="AF13" s="4">
        <v>44713</v>
      </c>
      <c r="AG13" s="6">
        <f>SUM($M$2:M13)</f>
        <v>-4997.49999999996</v>
      </c>
    </row>
    <row r="14" spans="1:33" x14ac:dyDescent="0.3">
      <c r="A14" s="2">
        <v>2</v>
      </c>
      <c r="B14" s="2" t="str">
        <v>RELIANCE.NS</v>
      </c>
      <c r="C14" s="2" t="str">
        <v>Reliance Industries</v>
      </c>
      <c r="D14" s="2" t="str">
        <v>Energy</v>
      </c>
      <c r="E14" s="4">
        <v>44683</v>
      </c>
      <c r="F14" s="2">
        <v>2744.02</v>
      </c>
      <c r="G14" s="4">
        <v>44727</v>
      </c>
      <c r="H14" s="2">
        <v>2579.4</v>
      </c>
      <c r="I14" s="2">
        <v>20</v>
      </c>
      <c r="K14" s="2">
        <f t="shared" si="0"/>
        <v>54880.4</v>
      </c>
      <c r="L14" s="2">
        <f t="shared" si="1"/>
        <v>51588</v>
      </c>
      <c r="M14" s="6">
        <f t="shared" si="2"/>
        <v>-3292.4000000000015</v>
      </c>
      <c r="N14" s="3">
        <f t="shared" si="6"/>
        <v>-5.9992274108789316E-2</v>
      </c>
      <c r="O14" s="2">
        <f t="shared" si="3"/>
        <v>44</v>
      </c>
      <c r="P14" s="2" t="str">
        <f t="shared" si="7"/>
        <v>Loss</v>
      </c>
      <c r="Q14" s="5" t="str">
        <f t="shared" si="4"/>
        <v>Jun-22</v>
      </c>
      <c r="R14" s="9">
        <f t="shared" si="5"/>
        <v>-5.9992274108789254E-2</v>
      </c>
      <c r="X14" s="2" t="str">
        <v>IT</v>
      </c>
      <c r="Y14" s="2">
        <v>-23695.34999999998</v>
      </c>
      <c r="AC14" s="5" t="str">
        <v>Jun-23</v>
      </c>
      <c r="AD14" s="2">
        <f t="shared" si="9"/>
        <v>1</v>
      </c>
      <c r="AF14" s="4">
        <v>44727</v>
      </c>
      <c r="AG14" s="6">
        <f>SUM($M$2:M14)</f>
        <v>-8289.8999999999614</v>
      </c>
    </row>
    <row r="15" spans="1:33" x14ac:dyDescent="0.3">
      <c r="A15" s="2">
        <v>19</v>
      </c>
      <c r="B15" s="2" t="str">
        <v>SUNPHARMA.NS</v>
      </c>
      <c r="C15" s="2" t="str">
        <v>Sun Pharma</v>
      </c>
      <c r="D15" s="2" t="str">
        <v>Pharma</v>
      </c>
      <c r="E15" s="4">
        <v>44683</v>
      </c>
      <c r="F15" s="2">
        <v>909.36</v>
      </c>
      <c r="G15" s="4">
        <v>44727</v>
      </c>
      <c r="H15" s="2">
        <v>810.63</v>
      </c>
      <c r="I15" s="2">
        <v>60</v>
      </c>
      <c r="K15" s="2">
        <f t="shared" si="0"/>
        <v>54561.599999999999</v>
      </c>
      <c r="L15" s="2">
        <f t="shared" si="1"/>
        <v>48637.8</v>
      </c>
      <c r="M15" s="6">
        <f t="shared" si="2"/>
        <v>-5923.7999999999956</v>
      </c>
      <c r="N15" s="3">
        <f t="shared" si="6"/>
        <v>-0.10857086302454466</v>
      </c>
      <c r="O15" s="2">
        <f t="shared" si="3"/>
        <v>44</v>
      </c>
      <c r="P15" s="2" t="str">
        <f t="shared" si="7"/>
        <v>Loss</v>
      </c>
      <c r="Q15" s="5" t="str">
        <f t="shared" si="4"/>
        <v>Jun-22</v>
      </c>
      <c r="R15" s="9">
        <f t="shared" si="5"/>
        <v>-0.10857086302454476</v>
      </c>
      <c r="T15" s="20" t="s">
        <v>50</v>
      </c>
      <c r="U15" s="20"/>
      <c r="V15" s="20"/>
      <c r="X15" s="2" t="str">
        <v>Finance</v>
      </c>
      <c r="Y15" s="2">
        <v>6426.9500000000007</v>
      </c>
      <c r="AC15" s="5" t="str">
        <v>Jul-23</v>
      </c>
      <c r="AD15" s="2">
        <f t="shared" si="9"/>
        <v>1</v>
      </c>
      <c r="AF15" s="4">
        <v>44727</v>
      </c>
      <c r="AG15" s="6">
        <f>SUM($M$2:M15)</f>
        <v>-14213.699999999957</v>
      </c>
    </row>
    <row r="16" spans="1:33" x14ac:dyDescent="0.3">
      <c r="A16" s="2">
        <v>22</v>
      </c>
      <c r="B16" s="2" t="str">
        <v>TATASTEEL.NS</v>
      </c>
      <c r="C16" s="2" t="str">
        <v>Tata Steel</v>
      </c>
      <c r="D16" s="2" t="str">
        <v>Metal</v>
      </c>
      <c r="E16" s="4">
        <v>44669</v>
      </c>
      <c r="F16" s="2">
        <v>122.38</v>
      </c>
      <c r="G16" s="4">
        <v>44743</v>
      </c>
      <c r="H16" s="2">
        <v>84.53</v>
      </c>
      <c r="I16" s="2">
        <v>300</v>
      </c>
      <c r="K16" s="2">
        <f t="shared" si="0"/>
        <v>36714</v>
      </c>
      <c r="L16" s="2">
        <f t="shared" si="1"/>
        <v>25359</v>
      </c>
      <c r="M16" s="6">
        <f t="shared" si="2"/>
        <v>-11355</v>
      </c>
      <c r="N16" s="3">
        <f t="shared" si="6"/>
        <v>-0.30928256251021408</v>
      </c>
      <c r="O16" s="2">
        <f t="shared" si="3"/>
        <v>74</v>
      </c>
      <c r="P16" s="2" t="str">
        <f t="shared" si="7"/>
        <v>Loss</v>
      </c>
      <c r="Q16" s="5" t="str">
        <f t="shared" si="4"/>
        <v>Jul-22</v>
      </c>
      <c r="R16" s="9">
        <f t="shared" si="5"/>
        <v>-0.30928256251021408</v>
      </c>
      <c r="T16" s="2" t="str">
        <f>INDEX(X3:X10, MATCH(MAX(AB3:AB10), AB3:AB10, 0)) &amp; " - " &amp; TEXT(MAX(AB3:AB10), "0.0") &amp; " days"</f>
        <v>ZOMATO.NS - 98.5 days</v>
      </c>
      <c r="X16" s="2" t="str">
        <v>Food Tech</v>
      </c>
      <c r="Y16" s="2">
        <v>4787.5000000000036</v>
      </c>
      <c r="AC16" s="5" t="str">
        <v>Aug-23</v>
      </c>
      <c r="AD16" s="2">
        <f t="shared" si="9"/>
        <v>1</v>
      </c>
      <c r="AF16" s="4">
        <v>44743</v>
      </c>
      <c r="AG16" s="6">
        <f>SUM($M$2:M16)</f>
        <v>-25568.699999999957</v>
      </c>
    </row>
    <row r="17" spans="1:33" x14ac:dyDescent="0.3">
      <c r="A17" s="2">
        <v>3</v>
      </c>
      <c r="B17" s="2" t="str">
        <v>RELIANCE.NS</v>
      </c>
      <c r="C17" s="2" t="str">
        <v>Reliance Industries</v>
      </c>
      <c r="D17" s="2" t="str">
        <v>Energy</v>
      </c>
      <c r="E17" s="4">
        <v>44743</v>
      </c>
      <c r="F17" s="2">
        <v>2558.13</v>
      </c>
      <c r="G17" s="4">
        <v>44789</v>
      </c>
      <c r="H17" s="2">
        <v>2634.04</v>
      </c>
      <c r="I17" s="2">
        <v>30</v>
      </c>
      <c r="K17" s="2">
        <f t="shared" si="0"/>
        <v>76743.900000000009</v>
      </c>
      <c r="L17" s="2">
        <f t="shared" si="1"/>
        <v>79021.2</v>
      </c>
      <c r="M17" s="6">
        <f t="shared" si="2"/>
        <v>2277.2999999999884</v>
      </c>
      <c r="N17" s="3">
        <f t="shared" si="6"/>
        <v>2.967401969407325E-2</v>
      </c>
      <c r="O17" s="2">
        <f t="shared" si="3"/>
        <v>46</v>
      </c>
      <c r="P17" s="2" t="str">
        <f t="shared" si="7"/>
        <v>Win</v>
      </c>
      <c r="Q17" s="5" t="str">
        <f t="shared" si="4"/>
        <v>Aug-22</v>
      </c>
      <c r="R17" s="9">
        <f t="shared" si="5"/>
        <v>2.9674019694073347E-2</v>
      </c>
      <c r="X17" s="2" t="str">
        <v>Energy</v>
      </c>
      <c r="Y17" s="2">
        <v>-532.55000000001019</v>
      </c>
      <c r="AC17" s="5" t="str">
        <v>Sep-23</v>
      </c>
      <c r="AD17" s="2">
        <f t="shared" si="9"/>
        <v>1</v>
      </c>
      <c r="AF17" s="4">
        <v>44789</v>
      </c>
      <c r="AG17" s="6">
        <f>SUM($M$2:M17)</f>
        <v>-23291.399999999969</v>
      </c>
    </row>
    <row r="18" spans="1:33" x14ac:dyDescent="0.3">
      <c r="A18" s="2">
        <v>6</v>
      </c>
      <c r="B18" s="2" t="str">
        <v>HDFCBANK.NS</v>
      </c>
      <c r="C18" s="2" t="str">
        <v>HDFC Bank</v>
      </c>
      <c r="D18" s="2" t="str">
        <v>Finance</v>
      </c>
      <c r="E18" s="4">
        <v>44727</v>
      </c>
      <c r="F18" s="2">
        <v>1286.8900000000001</v>
      </c>
      <c r="G18" s="4">
        <v>44789</v>
      </c>
      <c r="H18" s="2">
        <v>1485.12</v>
      </c>
      <c r="I18" s="2">
        <v>25</v>
      </c>
      <c r="K18" s="2">
        <f t="shared" si="0"/>
        <v>32172.250000000004</v>
      </c>
      <c r="L18" s="2">
        <f t="shared" si="1"/>
        <v>37128</v>
      </c>
      <c r="M18" s="6">
        <f t="shared" si="2"/>
        <v>4955.7499999999964</v>
      </c>
      <c r="N18" s="3">
        <f t="shared" si="6"/>
        <v>0.15403802966842531</v>
      </c>
      <c r="O18" s="2">
        <f t="shared" si="3"/>
        <v>62</v>
      </c>
      <c r="P18" s="2" t="str">
        <f t="shared" si="7"/>
        <v>Win</v>
      </c>
      <c r="Q18" s="5" t="str">
        <f t="shared" si="4"/>
        <v>Aug-22</v>
      </c>
      <c r="R18" s="9">
        <f t="shared" si="5"/>
        <v>0.15403802966842525</v>
      </c>
      <c r="T18" s="19" t="s">
        <v>52</v>
      </c>
      <c r="U18" s="19"/>
      <c r="V18" s="19"/>
      <c r="X18" s="2" t="str">
        <v>Metal</v>
      </c>
      <c r="Y18" s="2">
        <v>-3287.0000000000036</v>
      </c>
      <c r="AC18" s="5" t="str">
        <v>Oct-23</v>
      </c>
      <c r="AD18" s="2">
        <f t="shared" si="9"/>
        <v>3</v>
      </c>
      <c r="AF18" s="4">
        <v>44789</v>
      </c>
      <c r="AG18" s="6">
        <f>SUM($M$2:M18)</f>
        <v>-18335.649999999972</v>
      </c>
    </row>
    <row r="19" spans="1:33" x14ac:dyDescent="0.3">
      <c r="A19" s="2">
        <v>23</v>
      </c>
      <c r="B19" s="2" t="str">
        <v>TATASTEEL.NS</v>
      </c>
      <c r="C19" s="2" t="str">
        <v>Tata Steel</v>
      </c>
      <c r="D19" s="2" t="str">
        <v>Metal</v>
      </c>
      <c r="E19" s="4">
        <v>44789</v>
      </c>
      <c r="F19" s="2">
        <v>110.11</v>
      </c>
      <c r="G19" s="4">
        <v>44837</v>
      </c>
      <c r="H19" s="2">
        <v>95.24</v>
      </c>
      <c r="I19" s="2">
        <v>150</v>
      </c>
      <c r="K19" s="2">
        <f t="shared" si="0"/>
        <v>16516.5</v>
      </c>
      <c r="L19" s="2">
        <f t="shared" si="1"/>
        <v>14286</v>
      </c>
      <c r="M19" s="6">
        <f t="shared" si="2"/>
        <v>-2230.5</v>
      </c>
      <c r="N19" s="3">
        <f t="shared" si="6"/>
        <v>-0.13504677141040777</v>
      </c>
      <c r="O19" s="2">
        <f t="shared" si="3"/>
        <v>48</v>
      </c>
      <c r="P19" s="2" t="str">
        <f t="shared" si="7"/>
        <v>Loss</v>
      </c>
      <c r="Q19" s="5" t="str">
        <f t="shared" si="4"/>
        <v>Oct-22</v>
      </c>
      <c r="R19" s="9">
        <f t="shared" si="5"/>
        <v>-0.13504677141040783</v>
      </c>
      <c r="T19" s="4" t="str">
        <f>INDEX(_xlfn.ANCHORARRAY(AC2), MATCH(MAX(AD2:AD18), AD2:AD18, 0)) &amp; " - " &amp; TEXT(MAX(AD2:AD18), "0") &amp; " trades"</f>
        <v>Feb-22 - 3 trades</v>
      </c>
      <c r="X19" s="2" t="str">
        <v>Pharma</v>
      </c>
      <c r="Y19" s="2">
        <v>5967.1000000000058</v>
      </c>
      <c r="AD19" s="2">
        <f>SUM(AD2:AD18)</f>
        <v>28</v>
      </c>
      <c r="AF19" s="4">
        <v>44837</v>
      </c>
      <c r="AG19" s="6">
        <f>SUM($M$2:M19)</f>
        <v>-20566.149999999972</v>
      </c>
    </row>
    <row r="20" spans="1:33" x14ac:dyDescent="0.3">
      <c r="A20" s="2">
        <v>10</v>
      </c>
      <c r="B20" s="2" t="str">
        <v>INFY.NS</v>
      </c>
      <c r="C20" s="2" t="str">
        <v>Infosys</v>
      </c>
      <c r="D20" s="2" t="str">
        <v>IT</v>
      </c>
      <c r="E20" s="4">
        <v>44837</v>
      </c>
      <c r="F20" s="2">
        <v>1342.54</v>
      </c>
      <c r="G20" s="4">
        <v>44896</v>
      </c>
      <c r="H20" s="2">
        <v>1592.8</v>
      </c>
      <c r="I20" s="2">
        <v>20</v>
      </c>
      <c r="K20" s="2">
        <f t="shared" si="0"/>
        <v>26850.799999999999</v>
      </c>
      <c r="L20" s="2">
        <f t="shared" si="1"/>
        <v>31856</v>
      </c>
      <c r="M20" s="6">
        <f t="shared" si="2"/>
        <v>5005.2000000000007</v>
      </c>
      <c r="N20" s="3">
        <f t="shared" si="6"/>
        <v>0.18640785376972011</v>
      </c>
      <c r="O20" s="2">
        <f t="shared" si="3"/>
        <v>59</v>
      </c>
      <c r="P20" s="2" t="str">
        <f t="shared" si="7"/>
        <v>Win</v>
      </c>
      <c r="Q20" s="5" t="str">
        <f t="shared" si="4"/>
        <v>Dec-22</v>
      </c>
      <c r="R20" s="9">
        <f t="shared" si="5"/>
        <v>0.18640785376972008</v>
      </c>
      <c r="X20" s="2" t="str">
        <v>FMCG</v>
      </c>
      <c r="Y20" s="2">
        <v>17843.5</v>
      </c>
      <c r="AF20" s="4">
        <v>44896</v>
      </c>
      <c r="AG20" s="6">
        <f>SUM($M$2:M20)</f>
        <v>-15560.949999999972</v>
      </c>
    </row>
    <row r="21" spans="1:33" x14ac:dyDescent="0.3">
      <c r="A21" s="2">
        <v>27</v>
      </c>
      <c r="B21" s="2" t="str">
        <v>ZOMATO.NS</v>
      </c>
      <c r="C21" s="2" t="str">
        <v>Zomato Limited</v>
      </c>
      <c r="D21" s="2" t="str">
        <v>Food Tech</v>
      </c>
      <c r="E21" s="4">
        <v>44879</v>
      </c>
      <c r="F21" s="2">
        <v>74.3</v>
      </c>
      <c r="G21" s="4">
        <v>44928</v>
      </c>
      <c r="H21" s="2">
        <v>60.3</v>
      </c>
      <c r="I21" s="2">
        <v>150</v>
      </c>
      <c r="K21" s="2">
        <f t="shared" si="0"/>
        <v>11145</v>
      </c>
      <c r="L21" s="2">
        <f t="shared" si="1"/>
        <v>9045</v>
      </c>
      <c r="M21" s="6">
        <f t="shared" si="2"/>
        <v>-2100</v>
      </c>
      <c r="N21" s="3">
        <f t="shared" si="6"/>
        <v>-0.18842530282637954</v>
      </c>
      <c r="O21" s="2">
        <f t="shared" si="3"/>
        <v>49</v>
      </c>
      <c r="P21" s="2" t="str">
        <f t="shared" si="7"/>
        <v>Loss</v>
      </c>
      <c r="Q21" s="5" t="str">
        <f t="shared" si="4"/>
        <v>Jan-23</v>
      </c>
      <c r="R21" s="9">
        <f t="shared" si="5"/>
        <v>-0.18842530282637954</v>
      </c>
      <c r="T21" s="19" t="s">
        <v>56</v>
      </c>
      <c r="U21" s="19"/>
      <c r="V21" s="19"/>
      <c r="AF21" s="4">
        <v>44928</v>
      </c>
      <c r="AG21" s="6">
        <f>SUM($M$2:M21)</f>
        <v>-17660.949999999972</v>
      </c>
    </row>
    <row r="22" spans="1:33" x14ac:dyDescent="0.3">
      <c r="A22" s="2">
        <v>11</v>
      </c>
      <c r="B22" s="2" t="str">
        <v>INFY.NS</v>
      </c>
      <c r="C22" s="2" t="str">
        <v>Infosys</v>
      </c>
      <c r="D22" s="2" t="str">
        <v>IT</v>
      </c>
      <c r="E22" s="4">
        <v>44972</v>
      </c>
      <c r="F22" s="2">
        <v>1522.54</v>
      </c>
      <c r="G22" s="4">
        <v>45033</v>
      </c>
      <c r="H22" s="2">
        <v>1209.47</v>
      </c>
      <c r="I22" s="2">
        <v>25</v>
      </c>
      <c r="K22" s="2">
        <f t="shared" si="0"/>
        <v>38063.5</v>
      </c>
      <c r="L22" s="2">
        <f t="shared" si="1"/>
        <v>30236.75</v>
      </c>
      <c r="M22" s="6">
        <f t="shared" si="2"/>
        <v>-7826.75</v>
      </c>
      <c r="N22" s="3">
        <f t="shared" si="6"/>
        <v>-0.20562349757641835</v>
      </c>
      <c r="O22" s="2">
        <f t="shared" si="3"/>
        <v>61</v>
      </c>
      <c r="P22" s="2" t="str">
        <f t="shared" si="7"/>
        <v>Loss</v>
      </c>
      <c r="Q22" s="5" t="str">
        <f t="shared" si="4"/>
        <v>Apr-23</v>
      </c>
      <c r="R22" s="9">
        <f t="shared" si="5"/>
        <v>-0.20562349757641832</v>
      </c>
      <c r="T22" s="2" t="s">
        <v>0</v>
      </c>
      <c r="U22" s="2" t="s">
        <v>57</v>
      </c>
      <c r="X22" s="2" t="s">
        <v>66</v>
      </c>
      <c r="Y22" s="2">
        <f>COUNTIF(P2:P29,"Loss")</f>
        <v>13</v>
      </c>
      <c r="AF22" s="4">
        <v>45033</v>
      </c>
      <c r="AG22" s="6">
        <f>SUM($M$2:M22)</f>
        <v>-25487.699999999972</v>
      </c>
    </row>
    <row r="23" spans="1:33" x14ac:dyDescent="0.3">
      <c r="A23" s="2">
        <v>14</v>
      </c>
      <c r="B23" s="2" t="str">
        <v>ITC.NS</v>
      </c>
      <c r="C23" s="2" t="str">
        <v>ITC Limited</v>
      </c>
      <c r="D23" s="2" t="str">
        <v>FMCG</v>
      </c>
      <c r="E23" s="4">
        <v>44958</v>
      </c>
      <c r="F23" s="2">
        <v>345.39</v>
      </c>
      <c r="G23" s="4">
        <v>45092</v>
      </c>
      <c r="H23" s="2">
        <v>448.1</v>
      </c>
      <c r="I23" s="2">
        <v>100</v>
      </c>
      <c r="K23" s="2">
        <f t="shared" si="0"/>
        <v>34539</v>
      </c>
      <c r="L23" s="2">
        <f t="shared" si="1"/>
        <v>44810</v>
      </c>
      <c r="M23" s="6">
        <f t="shared" si="2"/>
        <v>10271</v>
      </c>
      <c r="N23" s="3">
        <f t="shared" si="6"/>
        <v>0.29737398303367207</v>
      </c>
      <c r="O23" s="2">
        <f t="shared" si="3"/>
        <v>134</v>
      </c>
      <c r="P23" s="2" t="str">
        <f t="shared" si="7"/>
        <v>Win</v>
      </c>
      <c r="Q23" s="5" t="str">
        <f>TEXT(G23,"MMM-YY")</f>
        <v>Jun-23</v>
      </c>
      <c r="R23" s="9">
        <f t="shared" si="5"/>
        <v>0.29737398303367218</v>
      </c>
      <c r="T23" s="11" t="str">
        <f>INDEX($X$2:$X$9, MATCH(LARGE($AA$2:$AA$9,1), $AA$2:$AA$9, 0))</f>
        <v>ITC.NS</v>
      </c>
      <c r="U23" s="3">
        <f>LARGE($AA$2:$AA$9, 1)</f>
        <v>0.1569066263338624</v>
      </c>
      <c r="X23" s="2" t="s">
        <v>48</v>
      </c>
      <c r="Y23" s="2">
        <f>COUNTIF(P2:P29,"Win")</f>
        <v>15</v>
      </c>
      <c r="AF23" s="4">
        <v>45092</v>
      </c>
      <c r="AG23" s="6">
        <f>SUM($M$2:M23)</f>
        <v>-15216.699999999972</v>
      </c>
    </row>
    <row r="24" spans="1:33" x14ac:dyDescent="0.3">
      <c r="A24" s="2">
        <v>7</v>
      </c>
      <c r="B24" s="2" t="str">
        <v>HDFCBANK.NS</v>
      </c>
      <c r="C24" s="2" t="str">
        <v>HDFC Bank</v>
      </c>
      <c r="D24" s="2" t="str">
        <v>Finance</v>
      </c>
      <c r="E24" s="4">
        <v>45000</v>
      </c>
      <c r="F24" s="2">
        <v>1560.11</v>
      </c>
      <c r="G24" s="4">
        <v>45110</v>
      </c>
      <c r="H24" s="2">
        <v>1719.8</v>
      </c>
      <c r="I24" s="2">
        <v>20</v>
      </c>
      <c r="K24" s="2">
        <f t="shared" si="0"/>
        <v>31202.199999999997</v>
      </c>
      <c r="L24" s="2">
        <f t="shared" si="1"/>
        <v>34396</v>
      </c>
      <c r="M24" s="6">
        <f t="shared" si="2"/>
        <v>3193.8000000000029</v>
      </c>
      <c r="N24" s="3">
        <f t="shared" si="6"/>
        <v>0.10235816705232334</v>
      </c>
      <c r="O24" s="2">
        <f t="shared" si="3"/>
        <v>110</v>
      </c>
      <c r="P24" s="2" t="str">
        <f t="shared" si="7"/>
        <v>Win</v>
      </c>
      <c r="Q24" s="5" t="str">
        <f t="shared" ref="Q24:Q29" si="10">TEXT(G24, "MMM-YY")</f>
        <v>Jul-23</v>
      </c>
      <c r="R24" s="9">
        <f t="shared" si="5"/>
        <v>0.10235816705232327</v>
      </c>
      <c r="T24" s="11" t="str">
        <f>INDEX($X$2:$X$9, MATCH(LARGE($AA$2:$AA$9,2), $AA$2:$AA$9, 0))</f>
        <v>MARUTI.NS</v>
      </c>
      <c r="U24" s="3">
        <f>LARGE($AA$2:$AA$9, 2)</f>
        <v>7.7052750873214393E-2</v>
      </c>
      <c r="X24" s="2" t="s">
        <v>49</v>
      </c>
      <c r="Y24" s="2">
        <f>COUNTA(A2:A29)</f>
        <v>28</v>
      </c>
      <c r="AF24" s="4">
        <v>45110</v>
      </c>
      <c r="AG24" s="6">
        <f>SUM($M$2:M24)</f>
        <v>-12022.899999999969</v>
      </c>
    </row>
    <row r="25" spans="1:33" x14ac:dyDescent="0.3">
      <c r="A25" s="2">
        <v>20</v>
      </c>
      <c r="B25" s="2" t="str">
        <v>SUNPHARMA.NS</v>
      </c>
      <c r="C25" s="2" t="str">
        <v>Sun Pharma</v>
      </c>
      <c r="D25" s="2" t="str">
        <v>Pharma</v>
      </c>
      <c r="E25" s="4">
        <v>45000</v>
      </c>
      <c r="F25" s="2">
        <v>948.64</v>
      </c>
      <c r="G25" s="4">
        <v>45139</v>
      </c>
      <c r="H25" s="2">
        <v>1143.45</v>
      </c>
      <c r="I25" s="2">
        <v>40</v>
      </c>
      <c r="K25" s="2">
        <f t="shared" si="0"/>
        <v>37945.599999999999</v>
      </c>
      <c r="L25" s="2">
        <f t="shared" si="1"/>
        <v>45738</v>
      </c>
      <c r="M25" s="6">
        <f t="shared" si="2"/>
        <v>7792.4000000000015</v>
      </c>
      <c r="N25" s="3">
        <f t="shared" si="6"/>
        <v>0.2053571428571429</v>
      </c>
      <c r="O25" s="2">
        <f t="shared" si="3"/>
        <v>139</v>
      </c>
      <c r="P25" s="2" t="str">
        <f t="shared" si="7"/>
        <v>Win</v>
      </c>
      <c r="Q25" s="5" t="str">
        <f t="shared" si="10"/>
        <v>Aug-23</v>
      </c>
      <c r="R25" s="9">
        <f t="shared" si="5"/>
        <v>0.20535714285714293</v>
      </c>
      <c r="T25" s="11" t="str">
        <f>INDEX($X$2:$X$9, MATCH(LARGE($AA$2:$AA$9,3), $AA$2:$AA$9, 0))</f>
        <v>ZOMATO.NS</v>
      </c>
      <c r="U25" s="3">
        <f>LARGE($AA$2:$AA$9, 3)</f>
        <v>7.1671844006138005E-2</v>
      </c>
      <c r="AF25" s="4">
        <v>45139</v>
      </c>
      <c r="AG25" s="6">
        <f>SUM($M$2:M25)</f>
        <v>-4230.4999999999673</v>
      </c>
    </row>
    <row r="26" spans="1:33" x14ac:dyDescent="0.3">
      <c r="A26" s="2">
        <v>24</v>
      </c>
      <c r="B26" s="2" t="str">
        <v>TATASTEEL.NS</v>
      </c>
      <c r="C26" s="2" t="str">
        <v>Tata Steel</v>
      </c>
      <c r="D26" s="2" t="str">
        <v>Metal</v>
      </c>
      <c r="E26" s="4">
        <v>45061</v>
      </c>
      <c r="F26" s="2">
        <v>103.67</v>
      </c>
      <c r="G26" s="4">
        <v>45184</v>
      </c>
      <c r="H26" s="2">
        <v>131.94999999999999</v>
      </c>
      <c r="I26" s="2">
        <v>200</v>
      </c>
      <c r="K26" s="2">
        <f t="shared" si="0"/>
        <v>20734</v>
      </c>
      <c r="L26" s="2">
        <f t="shared" si="1"/>
        <v>26389.999999999996</v>
      </c>
      <c r="M26" s="6">
        <f t="shared" si="2"/>
        <v>5655.9999999999964</v>
      </c>
      <c r="N26" s="3">
        <f t="shared" si="6"/>
        <v>0.27278865631330163</v>
      </c>
      <c r="O26" s="2">
        <f t="shared" si="3"/>
        <v>123</v>
      </c>
      <c r="P26" s="2" t="str">
        <f t="shared" si="7"/>
        <v>Win</v>
      </c>
      <c r="Q26" s="5" t="str">
        <f t="shared" si="10"/>
        <v>Sep-23</v>
      </c>
      <c r="R26" s="9">
        <f t="shared" si="5"/>
        <v>0.27278865631330168</v>
      </c>
      <c r="T26" s="11" t="str">
        <f>INDEX($X$2:$X$9, MATCH(LARGE($AA$2:$AA$9,4), $AA$2:$AA$9, 0))</f>
        <v>HDFCBANK.NS</v>
      </c>
      <c r="U26" s="3">
        <f>LARGE($AA$2:$AA$9, 4)</f>
        <v>6.011374653164743E-2</v>
      </c>
      <c r="AF26" s="4">
        <v>45184</v>
      </c>
      <c r="AG26" s="6">
        <f>SUM($M$2:M26)</f>
        <v>1425.5000000000291</v>
      </c>
    </row>
    <row r="27" spans="1:33" x14ac:dyDescent="0.3">
      <c r="A27" s="2">
        <v>17</v>
      </c>
      <c r="B27" s="2" t="str">
        <v>MARUTI.NS</v>
      </c>
      <c r="C27" s="2" t="str">
        <v>Maruti Suzuki</v>
      </c>
      <c r="D27" s="2" t="str">
        <v>Auto</v>
      </c>
      <c r="E27" s="4">
        <v>45000</v>
      </c>
      <c r="F27" s="2">
        <v>8569.36</v>
      </c>
      <c r="G27" s="4">
        <v>45215</v>
      </c>
      <c r="H27" s="2">
        <v>10704.5</v>
      </c>
      <c r="I27" s="2">
        <v>5</v>
      </c>
      <c r="K27" s="2">
        <f t="shared" si="0"/>
        <v>42846.8</v>
      </c>
      <c r="L27" s="2">
        <f t="shared" si="1"/>
        <v>53522.5</v>
      </c>
      <c r="M27" s="6">
        <f t="shared" si="2"/>
        <v>10675.699999999997</v>
      </c>
      <c r="N27" s="3">
        <f t="shared" si="6"/>
        <v>0.24915979723106502</v>
      </c>
      <c r="O27" s="2">
        <f t="shared" si="3"/>
        <v>215</v>
      </c>
      <c r="P27" s="2" t="str">
        <f t="shared" si="7"/>
        <v>Win</v>
      </c>
      <c r="Q27" s="5" t="str">
        <f t="shared" si="10"/>
        <v>Oct-23</v>
      </c>
      <c r="R27" s="9">
        <f t="shared" si="5"/>
        <v>0.24915979723106502</v>
      </c>
      <c r="T27" s="11" t="str">
        <f>INDEX($X$2:$X$9, MATCH(LARGE($AA$2:$AA$9,5), $AA$2:$AA$9, 0))</f>
        <v>SUNPHARMA.NS</v>
      </c>
      <c r="U27" s="3">
        <f>LARGE($AA$2:$AA$9, 5)</f>
        <v>4.4488863804625106E-2</v>
      </c>
      <c r="AF27" s="4">
        <v>45215</v>
      </c>
      <c r="AG27" s="6">
        <f>SUM($M$2:M27)</f>
        <v>12101.200000000026</v>
      </c>
    </row>
    <row r="28" spans="1:33" x14ac:dyDescent="0.3">
      <c r="A28" s="2">
        <v>28</v>
      </c>
      <c r="B28" s="2" t="str">
        <v>ZOMATO.NS</v>
      </c>
      <c r="C28" s="2" t="str">
        <v>Zomato Limited</v>
      </c>
      <c r="D28" s="2" t="str">
        <v>Food Tech</v>
      </c>
      <c r="E28" s="4">
        <v>44942</v>
      </c>
      <c r="F28" s="2">
        <v>54</v>
      </c>
      <c r="G28" s="4">
        <v>45215</v>
      </c>
      <c r="H28" s="2">
        <v>111.5</v>
      </c>
      <c r="I28" s="2">
        <v>250</v>
      </c>
      <c r="K28" s="2">
        <f t="shared" si="0"/>
        <v>13500</v>
      </c>
      <c r="L28" s="2">
        <f t="shared" si="1"/>
        <v>27875</v>
      </c>
      <c r="M28" s="6">
        <f t="shared" si="2"/>
        <v>14375</v>
      </c>
      <c r="N28" s="3">
        <f t="shared" si="6"/>
        <v>1.0648148148148149</v>
      </c>
      <c r="O28" s="2">
        <f t="shared" si="3"/>
        <v>273</v>
      </c>
      <c r="P28" s="2" t="str">
        <f t="shared" si="7"/>
        <v>Win</v>
      </c>
      <c r="Q28" s="5" t="str">
        <f t="shared" si="10"/>
        <v>Oct-23</v>
      </c>
      <c r="R28" s="9">
        <f t="shared" si="5"/>
        <v>1.0648148148148149</v>
      </c>
      <c r="AF28" s="4">
        <v>45215</v>
      </c>
      <c r="AG28" s="6">
        <f>SUM($M$2:M28)</f>
        <v>26476.200000000026</v>
      </c>
    </row>
    <row r="29" spans="1:33" x14ac:dyDescent="0.3">
      <c r="A29" s="2">
        <v>4</v>
      </c>
      <c r="B29" s="2" t="str">
        <v>RELIANCE.NS</v>
      </c>
      <c r="C29" s="2" t="str">
        <v>Reliance Industries</v>
      </c>
      <c r="D29" s="2" t="str">
        <v>Energy</v>
      </c>
      <c r="E29" s="4">
        <v>45124</v>
      </c>
      <c r="F29" s="2">
        <v>2737.33</v>
      </c>
      <c r="G29" s="4">
        <v>45230</v>
      </c>
      <c r="H29" s="2">
        <v>2287.9</v>
      </c>
      <c r="I29" s="2">
        <v>15</v>
      </c>
      <c r="K29" s="2">
        <f t="shared" si="0"/>
        <v>41059.949999999997</v>
      </c>
      <c r="L29" s="2">
        <f t="shared" si="1"/>
        <v>34318.5</v>
      </c>
      <c r="M29" s="6">
        <f t="shared" si="2"/>
        <v>-6741.4499999999971</v>
      </c>
      <c r="N29" s="3">
        <f t="shared" si="6"/>
        <v>-0.16418553846266246</v>
      </c>
      <c r="O29" s="2">
        <f t="shared" si="3"/>
        <v>106</v>
      </c>
      <c r="P29" s="2" t="str">
        <f t="shared" si="7"/>
        <v>Loss</v>
      </c>
      <c r="Q29" s="5" t="str">
        <f t="shared" si="10"/>
        <v>Oct-23</v>
      </c>
      <c r="R29" s="9">
        <f t="shared" si="5"/>
        <v>-0.16418553846266246</v>
      </c>
      <c r="AF29" s="4">
        <v>45230</v>
      </c>
      <c r="AG29" s="6">
        <f>SUM($M$2:M29)</f>
        <v>19734.750000000029</v>
      </c>
    </row>
    <row r="30" spans="1:33" ht="43.2" x14ac:dyDescent="0.3">
      <c r="O30" s="9">
        <f>AVERAGE(O2:O29)</f>
        <v>79.035714285714292</v>
      </c>
      <c r="T30" s="12" t="s">
        <v>60</v>
      </c>
    </row>
    <row r="47" spans="24:24" x14ac:dyDescent="0.3">
      <c r="X47" s="5"/>
    </row>
    <row r="48" spans="24:24" x14ac:dyDescent="0.3">
      <c r="X48" s="5"/>
    </row>
    <row r="49" spans="24:24" x14ac:dyDescent="0.3">
      <c r="X49" s="5"/>
    </row>
    <row r="50" spans="24:24" x14ac:dyDescent="0.3">
      <c r="X50" s="5"/>
    </row>
    <row r="51" spans="24:24" x14ac:dyDescent="0.3">
      <c r="X51" s="5"/>
    </row>
  </sheetData>
  <sortState xmlns:xlrd2="http://schemas.microsoft.com/office/spreadsheetml/2017/richdata2" ref="K2:M29">
    <sortCondition ref="K1:K29"/>
  </sortState>
  <mergeCells count="7">
    <mergeCell ref="T2:V2"/>
    <mergeCell ref="T8:V8"/>
    <mergeCell ref="T15:V15"/>
    <mergeCell ref="T18:V18"/>
    <mergeCell ref="T21:V21"/>
    <mergeCell ref="T5:V5"/>
    <mergeCell ref="T12:V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79DE-D4C0-408E-930B-AB093E027ACE}">
  <dimension ref="A1:AC18"/>
  <sheetViews>
    <sheetView tabSelected="1" zoomScale="80" zoomScaleNormal="80" workbookViewId="0">
      <selection activeCell="W1" sqref="W1"/>
    </sheetView>
  </sheetViews>
  <sheetFormatPr defaultRowHeight="14.4" x14ac:dyDescent="0.3"/>
  <cols>
    <col min="1" max="1" width="8.88671875" style="13"/>
    <col min="2" max="2" width="11.6640625" style="13" customWidth="1"/>
    <col min="3" max="7" width="8.88671875" style="13"/>
    <col min="8" max="8" width="8.88671875" style="13" customWidth="1"/>
    <col min="9" max="16384" width="8.88671875" style="13"/>
  </cols>
  <sheetData>
    <row r="1" spans="1:29" x14ac:dyDescent="0.3">
      <c r="A1" s="14" t="s">
        <v>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22"/>
      <c r="P1" s="22"/>
      <c r="Q1" s="14" t="s">
        <v>65</v>
      </c>
      <c r="R1" s="14"/>
      <c r="S1" s="14"/>
      <c r="T1" s="14"/>
      <c r="U1" s="14"/>
      <c r="V1" s="14"/>
      <c r="X1" s="14" t="s">
        <v>69</v>
      </c>
      <c r="Y1" s="14"/>
      <c r="Z1" s="14"/>
      <c r="AA1" s="14"/>
      <c r="AB1" s="14"/>
      <c r="AC1" s="14"/>
    </row>
    <row r="2" spans="1:29" x14ac:dyDescent="0.3">
      <c r="A2" s="18" t="s">
        <v>71</v>
      </c>
      <c r="B2" s="18"/>
      <c r="D2" s="14" t="s">
        <v>44</v>
      </c>
      <c r="E2" s="14"/>
      <c r="G2" s="14" t="s">
        <v>61</v>
      </c>
      <c r="H2" s="14"/>
      <c r="I2" s="22"/>
      <c r="J2" s="14" t="s">
        <v>62</v>
      </c>
      <c r="K2" s="14"/>
      <c r="L2" s="22"/>
      <c r="M2" s="14" t="s">
        <v>63</v>
      </c>
      <c r="N2" s="14"/>
      <c r="O2" s="22"/>
    </row>
    <row r="3" spans="1:29" x14ac:dyDescent="0.3">
      <c r="A3" s="25" t="s">
        <v>72</v>
      </c>
      <c r="B3" s="25"/>
      <c r="D3" s="15">
        <f>Analysis!T3</f>
        <v>19734.750000000029</v>
      </c>
      <c r="E3" s="15"/>
      <c r="G3" s="16">
        <f>Analysis!T13</f>
        <v>0.5357142857142857</v>
      </c>
      <c r="H3" s="16"/>
      <c r="I3" s="23"/>
      <c r="J3" s="16" t="str">
        <f>Analysis!T6</f>
        <v>ITC.NS (15.69%)</v>
      </c>
      <c r="K3" s="16"/>
      <c r="L3" s="23"/>
      <c r="M3" s="17" t="str">
        <f>Analysis!T9</f>
        <v>FMCG- ₹17,844</v>
      </c>
      <c r="N3" s="17"/>
      <c r="O3" s="24"/>
    </row>
    <row r="4" spans="1:29" x14ac:dyDescent="0.3">
      <c r="A4" s="25"/>
      <c r="B4" s="25"/>
      <c r="D4" s="15"/>
      <c r="E4" s="15"/>
      <c r="G4" s="16"/>
      <c r="H4" s="16"/>
      <c r="I4" s="23"/>
      <c r="J4" s="16"/>
      <c r="K4" s="16"/>
      <c r="L4" s="23"/>
      <c r="M4" s="17"/>
      <c r="N4" s="17"/>
      <c r="O4" s="24"/>
    </row>
    <row r="5" spans="1:29" x14ac:dyDescent="0.3">
      <c r="A5" s="22"/>
      <c r="B5" s="22"/>
    </row>
    <row r="18" spans="3:22" x14ac:dyDescent="0.3">
      <c r="C18" s="14" t="s">
        <v>68</v>
      </c>
      <c r="D18" s="14"/>
      <c r="E18" s="14"/>
      <c r="F18" s="14"/>
      <c r="G18" s="14"/>
      <c r="H18" s="14"/>
      <c r="J18" s="14" t="s">
        <v>67</v>
      </c>
      <c r="K18" s="14"/>
      <c r="L18" s="14"/>
      <c r="M18" s="14"/>
      <c r="N18" s="14"/>
      <c r="O18" s="14"/>
      <c r="Q18" s="18" t="s">
        <v>64</v>
      </c>
      <c r="R18" s="18"/>
      <c r="S18" s="18"/>
      <c r="T18" s="18"/>
      <c r="U18" s="18"/>
      <c r="V18" s="18"/>
    </row>
  </sheetData>
  <mergeCells count="16">
    <mergeCell ref="J18:O18"/>
    <mergeCell ref="Q18:V18"/>
    <mergeCell ref="Q1:V1"/>
    <mergeCell ref="C18:H18"/>
    <mergeCell ref="G2:H2"/>
    <mergeCell ref="G3:H4"/>
    <mergeCell ref="J2:K2"/>
    <mergeCell ref="J3:K4"/>
    <mergeCell ref="X1:AC1"/>
    <mergeCell ref="D2:E2"/>
    <mergeCell ref="D3:E4"/>
    <mergeCell ref="M2:N2"/>
    <mergeCell ref="M3:N4"/>
    <mergeCell ref="A1:N1"/>
    <mergeCell ref="A2:B2"/>
    <mergeCell ref="A3:B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1D27D8-752E-40A2-99F8-48A874E0B4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Pushkesh Maheshwari</dc:creator>
  <cp:lastModifiedBy>Pushkesh Maheshwari</cp:lastModifiedBy>
  <dcterms:created xsi:type="dcterms:W3CDTF">2026-08-13T15:41:58Z</dcterms:created>
  <dcterms:modified xsi:type="dcterms:W3CDTF">2026-08-14T20:06:04Z</dcterms:modified>
</cp:coreProperties>
</file>